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hkamir\Study\vyatsu_works\02.06.2026\optimizationMethods\Practice\Lab8\"/>
    </mc:Choice>
  </mc:AlternateContent>
  <xr:revisionPtr revIDLastSave="0" documentId="13_ncr:1_{92F69DD9-30F7-4C69-A515-48E0FE43FE96}" xr6:coauthVersionLast="47" xr6:coauthVersionMax="47" xr10:uidLastSave="{00000000-0000-0000-0000-000000000000}"/>
  <bookViews>
    <workbookView xWindow="-105" yWindow="0" windowWidth="19410" windowHeight="20985" activeTab="6" xr2:uid="{4766B91D-3872-4900-8514-A2DD03A9C9A2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</sheets>
  <definedNames>
    <definedName name="solver_adj" localSheetId="0" hidden="1">'1'!$B$2:$B$4</definedName>
    <definedName name="solver_adj" localSheetId="1" hidden="1">'2'!$B$2:$B$3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1" hidden="1">'2'!$B$2</definedName>
    <definedName name="solver_lhs2" localSheetId="1" hidden="1">'2'!$B$3</definedName>
    <definedName name="solver_lhs3" localSheetId="1" hidden="1">'2'!$B$3</definedName>
    <definedName name="solver_lhs4" localSheetId="1" hidden="1">'2'!$C$2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'1'!$B$6</definedName>
    <definedName name="solver_opt" localSheetId="1" hidden="1">'2'!$B$5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el3" localSheetId="1" hidden="1">3</definedName>
    <definedName name="solver_rel4" localSheetId="1" hidden="1">1</definedName>
    <definedName name="solver_rhs1" localSheetId="1" hidden="1">0</definedName>
    <definedName name="solver_rhs2" localSheetId="1" hidden="1">12</definedName>
    <definedName name="solver_rhs3" localSheetId="1" hidden="1">0</definedName>
    <definedName name="solver_rhs4" localSheetId="1" hidden="1">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7" l="1"/>
  <c r="D5" i="6" l="1"/>
  <c r="F5" i="6" s="1"/>
  <c r="D6" i="6"/>
  <c r="F6" i="6" s="1"/>
  <c r="D7" i="6"/>
  <c r="F7" i="6" s="1"/>
  <c r="D8" i="6"/>
  <c r="F8" i="6" s="1"/>
  <c r="D9" i="6"/>
  <c r="F9" i="6" s="1"/>
  <c r="D10" i="6"/>
  <c r="F10" i="6" s="1"/>
  <c r="D11" i="6"/>
  <c r="F11" i="6" s="1"/>
  <c r="D4" i="6"/>
  <c r="F4" i="6" s="1"/>
  <c r="D2" i="5"/>
  <c r="G3" i="3"/>
  <c r="G4" i="3"/>
  <c r="G5" i="3"/>
  <c r="G6" i="3"/>
  <c r="G7" i="3"/>
  <c r="G8" i="3"/>
  <c r="G9" i="3"/>
  <c r="G2" i="3"/>
  <c r="F2" i="3" a="1"/>
  <c r="F2" i="3" s="1"/>
  <c r="B5" i="2"/>
  <c r="C2" i="2"/>
  <c r="C3" i="2"/>
  <c r="B6" i="1"/>
  <c r="F12" i="6" l="1"/>
  <c r="F9" i="3"/>
  <c r="F8" i="3"/>
  <c r="F6" i="3"/>
  <c r="F5" i="3"/>
  <c r="F4" i="3"/>
  <c r="F3" i="3"/>
  <c r="F7" i="3"/>
</calcChain>
</file>

<file path=xl/sharedStrings.xml><?xml version="1.0" encoding="utf-8"?>
<sst xmlns="http://schemas.openxmlformats.org/spreadsheetml/2006/main" count="42" uniqueCount="36">
  <si>
    <t>Переменная</t>
  </si>
  <si>
    <t>Значение</t>
  </si>
  <si>
    <t>x</t>
  </si>
  <si>
    <t>y</t>
  </si>
  <si>
    <t>z</t>
  </si>
  <si>
    <t>Функция f</t>
  </si>
  <si>
    <t>A</t>
  </si>
  <si>
    <t>B</t>
  </si>
  <si>
    <t>Ограничения</t>
  </si>
  <si>
    <t>Границы роста групп (см)</t>
  </si>
  <si>
    <t>Число людей в группах</t>
  </si>
  <si>
    <t>Рост людей в регионе (см)</t>
  </si>
  <si>
    <t>Объем одежды</t>
  </si>
  <si>
    <t>Время</t>
  </si>
  <si>
    <t>Высота</t>
  </si>
  <si>
    <t>Декада</t>
  </si>
  <si>
    <t>Курс</t>
  </si>
  <si>
    <t>Прибыль</t>
  </si>
  <si>
    <t>Штатное расписание больницы</t>
  </si>
  <si>
    <t>Должность</t>
  </si>
  <si>
    <t>Коэф.</t>
  </si>
  <si>
    <t>Количество сотрудников</t>
  </si>
  <si>
    <t>Санитарка</t>
  </si>
  <si>
    <t>Медсестра</t>
  </si>
  <si>
    <t>Врач</t>
  </si>
  <si>
    <t>Зав. Отделением</t>
  </si>
  <si>
    <t>Зав. Аптекой</t>
  </si>
  <si>
    <t>Завхоз</t>
  </si>
  <si>
    <t>Главврач</t>
  </si>
  <si>
    <t>Зав. Больницей</t>
  </si>
  <si>
    <t>Коэф., грн</t>
  </si>
  <si>
    <t>Зарплата сотрудника, грн</t>
  </si>
  <si>
    <t>Суммарная зарплата, грн</t>
  </si>
  <si>
    <t>Месячный фонд зарплаты</t>
  </si>
  <si>
    <t>Зарплта  санитарки</t>
  </si>
  <si>
    <t>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</si>
</sst>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theme="1"/>
      <name val="Arial"/>
      <family val="2"/>
      <charset val="204"/>
    </font>
    <font>
      <sz val="16"/>
      <color theme="1"/>
      <name val="Aptos Narrow"/>
      <family val="2"/>
      <scheme val="minor"/>
    </font>
    <font>
      <sz val="16"/>
      <color theme="1"/>
      <name val="Arial"/>
      <family val="2"/>
      <charset val="204"/>
    </font>
    <font>
      <sz val="16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высоты от времени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8442363623465979E-2"/>
          <c:y val="0.16271940575839344"/>
          <c:w val="0.90513120995010754"/>
          <c:h val="0.66277677300754279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>
                    <a:tint val="77000"/>
                  </a:schemeClr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'4'!$B$2:$K$2</c:f>
              <c:numCache>
                <c:formatCode>General</c:formatCode>
                <c:ptCount val="10"/>
                <c:pt idx="0">
                  <c:v>5.0999999999999996</c:v>
                </c:pt>
                <c:pt idx="1">
                  <c:v>19.399999999999999</c:v>
                </c:pt>
                <c:pt idx="2">
                  <c:v>45.2</c:v>
                </c:pt>
                <c:pt idx="3">
                  <c:v>78.400000000000006</c:v>
                </c:pt>
                <c:pt idx="4">
                  <c:v>122.8</c:v>
                </c:pt>
                <c:pt idx="5">
                  <c:v>176.3</c:v>
                </c:pt>
                <c:pt idx="6">
                  <c:v>238.6</c:v>
                </c:pt>
                <c:pt idx="7">
                  <c:v>312.89999999999998</c:v>
                </c:pt>
                <c:pt idx="8">
                  <c:v>396.9</c:v>
                </c:pt>
                <c:pt idx="9">
                  <c:v>499.6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10-4C6E-8E1E-887CCF4DF7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12473440"/>
        <c:axId val="2072606688"/>
      </c:lineChart>
      <c:catAx>
        <c:axId val="191247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2606688"/>
        <c:crosses val="autoZero"/>
        <c:auto val="1"/>
        <c:lblAlgn val="ctr"/>
        <c:lblOffset val="100"/>
        <c:noMultiLvlLbl val="0"/>
      </c:catAx>
      <c:valAx>
        <c:axId val="20726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Высота,м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247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Курс акций по декадам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8448443506419851"/>
                  <c:y val="-6.916555560271542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3.541x</a:t>
                    </a:r>
                    <a:r>
                      <a:rPr lang="en-US" sz="1400" baseline="30000"/>
                      <a:t>0.4125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'5'!$B$2:$B$25</c:f>
              <c:numCache>
                <c:formatCode>General</c:formatCode>
                <c:ptCount val="24"/>
                <c:pt idx="0">
                  <c:v>6.5</c:v>
                </c:pt>
                <c:pt idx="1">
                  <c:v>6.1</c:v>
                </c:pt>
                <c:pt idx="2">
                  <c:v>5.6</c:v>
                </c:pt>
                <c:pt idx="3">
                  <c:v>4.9000000000000004</c:v>
                </c:pt>
                <c:pt idx="4">
                  <c:v>4.2</c:v>
                </c:pt>
                <c:pt idx="5">
                  <c:v>4</c:v>
                </c:pt>
                <c:pt idx="6">
                  <c:v>4</c:v>
                </c:pt>
                <c:pt idx="7">
                  <c:v>4.8</c:v>
                </c:pt>
                <c:pt idx="8">
                  <c:v>6.1</c:v>
                </c:pt>
                <c:pt idx="9">
                  <c:v>8.3000000000000007</c:v>
                </c:pt>
                <c:pt idx="10">
                  <c:v>10</c:v>
                </c:pt>
                <c:pt idx="11">
                  <c:v>12.1</c:v>
                </c:pt>
                <c:pt idx="12">
                  <c:v>14.3</c:v>
                </c:pt>
                <c:pt idx="13">
                  <c:v>16</c:v>
                </c:pt>
                <c:pt idx="14">
                  <c:v>17.3</c:v>
                </c:pt>
                <c:pt idx="15">
                  <c:v>18.2</c:v>
                </c:pt>
                <c:pt idx="16">
                  <c:v>18.8</c:v>
                </c:pt>
                <c:pt idx="17">
                  <c:v>17.600000000000001</c:v>
                </c:pt>
                <c:pt idx="18">
                  <c:v>16</c:v>
                </c:pt>
                <c:pt idx="19">
                  <c:v>14.1</c:v>
                </c:pt>
                <c:pt idx="20">
                  <c:v>12</c:v>
                </c:pt>
                <c:pt idx="21">
                  <c:v>10</c:v>
                </c:pt>
                <c:pt idx="22">
                  <c:v>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E-4E3B-9DAB-7F3A49969B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3612736"/>
        <c:axId val="1883609376"/>
      </c:lineChart>
      <c:catAx>
        <c:axId val="188361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Декады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3609376"/>
        <c:crosses val="autoZero"/>
        <c:auto val="1"/>
        <c:lblAlgn val="ctr"/>
        <c:lblOffset val="100"/>
        <c:noMultiLvlLbl val="0"/>
      </c:catAx>
      <c:valAx>
        <c:axId val="18836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Курс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361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33336</xdr:rowOff>
    </xdr:from>
    <xdr:to>
      <xdr:col>11</xdr:col>
      <xdr:colOff>9525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FC5AA6-399F-8AEF-B2C4-F5FD7507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3</xdr:row>
      <xdr:rowOff>14286</xdr:rowOff>
    </xdr:from>
    <xdr:to>
      <xdr:col>12</xdr:col>
      <xdr:colOff>200025</xdr:colOff>
      <xdr:row>20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1A840E8-5DCC-DADB-B01B-B441B2B5E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B05CD21-737C-4B1F-94D1-B6FDBFFB8659}">
  <we:reference id="wa200005502" version="1.0.0.13" store="ru-RU" storeType="OMEX"/>
  <we:alternateReferences>
    <we:reference id="wa200005502" version="1.0.0.13" store="wa200005502" storeType="OMEX"/>
  </we:alternateReferences>
  <we:properties>
    <we:property name="docId" value="&quot;EX7UWJxtipDd42JQWmNTz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49B1FD9-6983-45BD-B9C2-BEA1DC2E0C10}">
  <we:reference id="wa200005669" version="2.0.0.0" store="ru-RU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593E-E0BF-484F-9C06-6E231F76F4DA}">
  <dimension ref="A1:C8"/>
  <sheetViews>
    <sheetView workbookViewId="0">
      <selection activeCell="A5" sqref="A5"/>
    </sheetView>
  </sheetViews>
  <sheetFormatPr defaultRowHeight="15"/>
  <cols>
    <col min="1" max="1" width="19.28515625" customWidth="1"/>
    <col min="2" max="2" width="18.42578125" customWidth="1"/>
  </cols>
  <sheetData>
    <row r="1" spans="1:3" ht="21">
      <c r="A1" s="2" t="s">
        <v>0</v>
      </c>
      <c r="B1" s="2" t="s">
        <v>1</v>
      </c>
      <c r="C1" s="1"/>
    </row>
    <row r="2" spans="1:3" ht="21">
      <c r="A2" s="2" t="s">
        <v>2</v>
      </c>
      <c r="B2" s="2">
        <v>0.99999973327459035</v>
      </c>
      <c r="C2" s="1"/>
    </row>
    <row r="3" spans="1:3" ht="21">
      <c r="A3" s="2" t="s">
        <v>3</v>
      </c>
      <c r="B3" s="2">
        <v>0</v>
      </c>
      <c r="C3" s="1"/>
    </row>
    <row r="4" spans="1:3" ht="21">
      <c r="A4" s="2" t="s">
        <v>4</v>
      </c>
      <c r="B4" s="2">
        <v>3.1415925251138326</v>
      </c>
      <c r="C4" s="1"/>
    </row>
    <row r="5" spans="1:3" ht="21">
      <c r="A5" s="2"/>
      <c r="B5" s="2"/>
      <c r="C5" s="1"/>
    </row>
    <row r="6" spans="1:3" ht="81">
      <c r="A6" s="2" t="s">
        <v>5</v>
      </c>
      <c r="B6" s="3">
        <f>(B2-1)^2+B3^2-0.5*COS(2*B4)</f>
        <v>-0.49999999999991235</v>
      </c>
      <c r="C6" s="1"/>
    </row>
    <row r="7" spans="1:3" ht="21">
      <c r="A7" s="1"/>
      <c r="B7" s="1"/>
      <c r="C7" s="1"/>
    </row>
    <row r="8" spans="1:3" ht="21">
      <c r="A8" s="1"/>
      <c r="B8" s="1"/>
      <c r="C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138F-0401-4A68-B3A9-C1CA3253EA79}">
  <dimension ref="A1:E6"/>
  <sheetViews>
    <sheetView workbookViewId="0">
      <selection activeCell="A2" sqref="A2"/>
    </sheetView>
  </sheetViews>
  <sheetFormatPr defaultRowHeight="15"/>
  <cols>
    <col min="1" max="1" width="42.5703125" customWidth="1"/>
    <col min="2" max="2" width="24.5703125" customWidth="1"/>
    <col min="3" max="3" width="44.140625" customWidth="1"/>
    <col min="4" max="4" width="55.7109375" customWidth="1"/>
  </cols>
  <sheetData>
    <row r="1" spans="1:5" ht="20.25">
      <c r="A1" s="2" t="s">
        <v>0</v>
      </c>
      <c r="B1" s="2" t="s">
        <v>1</v>
      </c>
      <c r="C1" s="2" t="s">
        <v>8</v>
      </c>
      <c r="E1" s="2"/>
    </row>
    <row r="2" spans="1:5" ht="20.25">
      <c r="A2" s="2" t="s">
        <v>2</v>
      </c>
      <c r="B2" s="2">
        <v>1.0000003168918019</v>
      </c>
      <c r="C2" s="2">
        <f>B2 + 2*B3</f>
        <v>2.9999997165643419</v>
      </c>
      <c r="E2" s="2"/>
    </row>
    <row r="3" spans="1:5" ht="20.25">
      <c r="A3" s="2" t="s">
        <v>3</v>
      </c>
      <c r="B3" s="2">
        <v>0.99999969983626991</v>
      </c>
      <c r="C3" s="2">
        <f>2*B2 - B3</f>
        <v>1.0000009339473339</v>
      </c>
      <c r="E3" s="2"/>
    </row>
    <row r="4" spans="1:5" ht="20.25">
      <c r="A4" s="2"/>
      <c r="B4" s="2"/>
      <c r="C4" s="2"/>
      <c r="D4" s="2"/>
      <c r="E4" s="2"/>
    </row>
    <row r="5" spans="1:5" ht="20.25">
      <c r="A5" s="2" t="s">
        <v>5</v>
      </c>
      <c r="B5" s="2">
        <f>B2*(2-B2) + 2*B3*(2-B3)</f>
        <v>2.9999999999997193</v>
      </c>
      <c r="C5" s="2"/>
      <c r="D5" s="2"/>
      <c r="E5" s="2"/>
    </row>
    <row r="6" spans="1:5" ht="20.25">
      <c r="A6" s="2"/>
      <c r="B6" s="2"/>
      <c r="C6" s="2"/>
      <c r="D6" s="2"/>
      <c r="E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66ED-23FA-4D19-8429-542C48F1EA26}">
  <dimension ref="A1:G10"/>
  <sheetViews>
    <sheetView workbookViewId="0">
      <selection activeCell="E5" sqref="E5"/>
    </sheetView>
  </sheetViews>
  <sheetFormatPr defaultRowHeight="15"/>
  <cols>
    <col min="1" max="4" width="6.42578125" bestFit="1" customWidth="1"/>
    <col min="5" max="5" width="17.5703125" customWidth="1"/>
    <col min="6" max="6" width="27.28515625" customWidth="1"/>
    <col min="7" max="7" width="16" customWidth="1"/>
  </cols>
  <sheetData>
    <row r="1" spans="1:7" ht="60.75">
      <c r="A1" s="4" t="s">
        <v>11</v>
      </c>
      <c r="B1" s="4"/>
      <c r="C1" s="4"/>
      <c r="D1" s="4"/>
      <c r="E1" s="2" t="s">
        <v>9</v>
      </c>
      <c r="F1" s="2" t="s">
        <v>10</v>
      </c>
      <c r="G1" s="2" t="s">
        <v>12</v>
      </c>
    </row>
    <row r="2" spans="1:7" ht="20.25">
      <c r="A2" s="2">
        <v>178</v>
      </c>
      <c r="B2" s="2">
        <v>163</v>
      </c>
      <c r="C2" s="2">
        <v>148</v>
      </c>
      <c r="D2" s="2">
        <v>194</v>
      </c>
      <c r="E2" s="2">
        <v>140</v>
      </c>
      <c r="F2" s="2">
        <f t="array" ref="F2:F9">FREQUENCY(A2:D9,E2:E8)</f>
        <v>0</v>
      </c>
      <c r="G2" s="2">
        <f>F2*50</f>
        <v>0</v>
      </c>
    </row>
    <row r="3" spans="1:7" ht="20.25">
      <c r="A3" s="2">
        <v>196</v>
      </c>
      <c r="B3" s="2">
        <v>158</v>
      </c>
      <c r="C3" s="2">
        <v>146</v>
      </c>
      <c r="D3" s="2">
        <v>167</v>
      </c>
      <c r="E3" s="2">
        <v>150</v>
      </c>
      <c r="F3" s="2">
        <v>4</v>
      </c>
      <c r="G3" s="2">
        <f t="shared" ref="G3:G9" si="0">F3*50</f>
        <v>200</v>
      </c>
    </row>
    <row r="4" spans="1:7" ht="20.25">
      <c r="A4" s="2">
        <v>178</v>
      </c>
      <c r="B4" s="2">
        <v>176</v>
      </c>
      <c r="C4" s="2">
        <v>146</v>
      </c>
      <c r="D4" s="2">
        <v>198</v>
      </c>
      <c r="E4" s="2">
        <v>160</v>
      </c>
      <c r="F4" s="2">
        <v>3</v>
      </c>
      <c r="G4" s="2">
        <f t="shared" si="0"/>
        <v>150</v>
      </c>
    </row>
    <row r="5" spans="1:7" ht="20.25">
      <c r="A5" s="2">
        <v>185</v>
      </c>
      <c r="B5" s="2">
        <v>176</v>
      </c>
      <c r="C5" s="2">
        <v>149</v>
      </c>
      <c r="D5" s="2">
        <v>156</v>
      </c>
      <c r="E5" s="2">
        <v>170</v>
      </c>
      <c r="F5" s="2">
        <v>6</v>
      </c>
      <c r="G5" s="2">
        <f t="shared" si="0"/>
        <v>300</v>
      </c>
    </row>
    <row r="6" spans="1:7" ht="20.25">
      <c r="A6" s="2">
        <v>174</v>
      </c>
      <c r="B6" s="2">
        <v>198</v>
      </c>
      <c r="C6" s="2">
        <v>202</v>
      </c>
      <c r="D6" s="2">
        <v>168</v>
      </c>
      <c r="E6" s="2">
        <v>180</v>
      </c>
      <c r="F6" s="2">
        <v>9</v>
      </c>
      <c r="G6" s="2">
        <f t="shared" si="0"/>
        <v>450</v>
      </c>
    </row>
    <row r="7" spans="1:7" ht="20.25">
      <c r="A7" s="2">
        <v>172</v>
      </c>
      <c r="B7" s="2">
        <v>179</v>
      </c>
      <c r="C7" s="2">
        <v>164</v>
      </c>
      <c r="D7" s="2">
        <v>203</v>
      </c>
      <c r="E7" s="2">
        <v>190</v>
      </c>
      <c r="F7" s="2">
        <v>2</v>
      </c>
      <c r="G7" s="2">
        <f t="shared" si="0"/>
        <v>100</v>
      </c>
    </row>
    <row r="8" spans="1:7" ht="20.25">
      <c r="A8" s="2">
        <v>176</v>
      </c>
      <c r="B8" s="2">
        <v>179</v>
      </c>
      <c r="C8" s="2">
        <v>182</v>
      </c>
      <c r="D8" s="2">
        <v>168</v>
      </c>
      <c r="E8" s="2">
        <v>200</v>
      </c>
      <c r="F8" s="2">
        <v>5</v>
      </c>
      <c r="G8" s="2">
        <f t="shared" si="0"/>
        <v>250</v>
      </c>
    </row>
    <row r="9" spans="1:7" ht="20.25">
      <c r="A9" s="2">
        <v>205</v>
      </c>
      <c r="B9" s="2">
        <v>197</v>
      </c>
      <c r="C9" s="2">
        <v>158</v>
      </c>
      <c r="D9" s="2">
        <v>162</v>
      </c>
      <c r="E9" s="2"/>
      <c r="F9" s="2">
        <v>3</v>
      </c>
      <c r="G9" s="2">
        <f t="shared" si="0"/>
        <v>150</v>
      </c>
    </row>
    <row r="10" spans="1:7" ht="20.25">
      <c r="A10" s="2"/>
      <c r="B10" s="2"/>
      <c r="C10" s="2"/>
      <c r="D10" s="2"/>
      <c r="E10" s="2"/>
      <c r="F10" s="2"/>
      <c r="G10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B68A-0B99-4D89-BC3C-BFDDC384F3D4}">
  <dimension ref="A1:L5"/>
  <sheetViews>
    <sheetView workbookViewId="0">
      <selection activeCell="D1" sqref="D1"/>
    </sheetView>
  </sheetViews>
  <sheetFormatPr defaultRowHeight="15"/>
  <cols>
    <col min="1" max="1" width="16.28515625" customWidth="1"/>
  </cols>
  <sheetData>
    <row r="1" spans="1:12" ht="40.5">
      <c r="A1" s="2" t="s">
        <v>13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/>
    </row>
    <row r="2" spans="1:12" ht="40.5">
      <c r="A2" s="2" t="s">
        <v>14</v>
      </c>
      <c r="B2" s="2">
        <v>5.0999999999999996</v>
      </c>
      <c r="C2" s="2">
        <v>19.399999999999999</v>
      </c>
      <c r="D2" s="2">
        <v>45.2</v>
      </c>
      <c r="E2" s="2">
        <v>78.400000000000006</v>
      </c>
      <c r="F2" s="2">
        <v>122.8</v>
      </c>
      <c r="G2" s="2">
        <v>176.3</v>
      </c>
      <c r="H2" s="2">
        <v>238.6</v>
      </c>
      <c r="I2" s="2">
        <v>312.89999999999998</v>
      </c>
      <c r="J2" s="2">
        <v>396.9</v>
      </c>
      <c r="K2" s="2">
        <v>499.6</v>
      </c>
      <c r="L2" s="2"/>
    </row>
    <row r="3" spans="1:12" ht="2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2A58-AF73-4CDD-AECF-C1ED9CFDD1D0}">
  <dimension ref="A1:D25"/>
  <sheetViews>
    <sheetView workbookViewId="0">
      <selection activeCell="B19" sqref="B19"/>
    </sheetView>
  </sheetViews>
  <sheetFormatPr defaultRowHeight="15"/>
  <cols>
    <col min="1" max="1" width="12.5703125" customWidth="1"/>
    <col min="4" max="4" width="15.42578125" customWidth="1"/>
  </cols>
  <sheetData>
    <row r="1" spans="1:4" ht="20.25">
      <c r="A1" s="2" t="s">
        <v>15</v>
      </c>
      <c r="B1" s="2" t="s">
        <v>16</v>
      </c>
      <c r="C1" s="2"/>
      <c r="D1" s="5" t="s">
        <v>17</v>
      </c>
    </row>
    <row r="2" spans="1:4" ht="20.25">
      <c r="A2" s="2">
        <v>1</v>
      </c>
      <c r="B2" s="2">
        <v>6.5</v>
      </c>
      <c r="C2" s="2"/>
      <c r="D2" s="5">
        <f>3.541*10^0.4125</f>
        <v>9.1543165668897171</v>
      </c>
    </row>
    <row r="3" spans="1:4" ht="20.25">
      <c r="A3" s="2">
        <v>2</v>
      </c>
      <c r="B3" s="2">
        <v>6.1</v>
      </c>
      <c r="C3" s="2"/>
    </row>
    <row r="4" spans="1:4" ht="20.25">
      <c r="A4" s="2">
        <v>3</v>
      </c>
      <c r="B4" s="2">
        <v>5.6</v>
      </c>
      <c r="C4" s="2"/>
    </row>
    <row r="5" spans="1:4" ht="20.25">
      <c r="A5" s="2">
        <v>4</v>
      </c>
      <c r="B5" s="2">
        <v>4.9000000000000004</v>
      </c>
      <c r="C5" s="2"/>
    </row>
    <row r="6" spans="1:4" ht="20.25">
      <c r="A6" s="2">
        <v>5</v>
      </c>
      <c r="B6" s="2">
        <v>4.2</v>
      </c>
      <c r="C6" s="2"/>
    </row>
    <row r="7" spans="1:4" ht="20.25">
      <c r="A7" s="2">
        <v>6</v>
      </c>
      <c r="B7" s="2">
        <v>4</v>
      </c>
      <c r="C7" s="2"/>
    </row>
    <row r="8" spans="1:4" ht="20.25">
      <c r="A8" s="2">
        <v>7</v>
      </c>
      <c r="B8" s="2">
        <v>4</v>
      </c>
      <c r="C8" s="2"/>
    </row>
    <row r="9" spans="1:4" ht="20.25">
      <c r="A9" s="2">
        <v>8</v>
      </c>
      <c r="B9" s="2">
        <v>4.8</v>
      </c>
      <c r="C9" s="2"/>
    </row>
    <row r="10" spans="1:4" ht="20.25">
      <c r="A10" s="2">
        <v>9</v>
      </c>
      <c r="B10" s="2">
        <v>6.1</v>
      </c>
      <c r="C10" s="2"/>
    </row>
    <row r="11" spans="1:4" ht="20.25">
      <c r="A11" s="2">
        <v>10</v>
      </c>
      <c r="B11" s="2">
        <v>8.3000000000000007</v>
      </c>
      <c r="C11" s="2"/>
    </row>
    <row r="12" spans="1:4" ht="20.25">
      <c r="A12" s="2">
        <v>11</v>
      </c>
      <c r="B12" s="2">
        <v>10</v>
      </c>
      <c r="C12" s="2"/>
    </row>
    <row r="13" spans="1:4" ht="20.25">
      <c r="A13" s="2">
        <v>12</v>
      </c>
      <c r="B13" s="2">
        <v>12.1</v>
      </c>
      <c r="C13" s="2"/>
    </row>
    <row r="14" spans="1:4" ht="20.25">
      <c r="A14" s="2">
        <v>13</v>
      </c>
      <c r="B14" s="2">
        <v>14.3</v>
      </c>
      <c r="C14" s="2"/>
    </row>
    <row r="15" spans="1:4" ht="20.25">
      <c r="A15" s="2">
        <v>14</v>
      </c>
      <c r="B15" s="2">
        <v>16</v>
      </c>
      <c r="C15" s="2"/>
    </row>
    <row r="16" spans="1:4" ht="20.25">
      <c r="A16" s="2">
        <v>15</v>
      </c>
      <c r="B16" s="2">
        <v>17.3</v>
      </c>
      <c r="C16" s="2"/>
    </row>
    <row r="17" spans="1:3" ht="20.25">
      <c r="A17" s="2">
        <v>16</v>
      </c>
      <c r="B17" s="2">
        <v>18.2</v>
      </c>
      <c r="C17" s="2"/>
    </row>
    <row r="18" spans="1:3" ht="20.25">
      <c r="A18" s="2">
        <v>17</v>
      </c>
      <c r="B18" s="2">
        <v>18.8</v>
      </c>
      <c r="C18" s="2"/>
    </row>
    <row r="19" spans="1:3" ht="20.25">
      <c r="A19" s="2">
        <v>18</v>
      </c>
      <c r="B19" s="2">
        <v>17.600000000000001</v>
      </c>
      <c r="C19" s="2"/>
    </row>
    <row r="20" spans="1:3" ht="20.25">
      <c r="A20" s="2">
        <v>19</v>
      </c>
      <c r="B20" s="2">
        <v>16</v>
      </c>
      <c r="C20" s="2"/>
    </row>
    <row r="21" spans="1:3" ht="20.25">
      <c r="A21" s="2">
        <v>20</v>
      </c>
      <c r="B21" s="2">
        <v>14.1</v>
      </c>
      <c r="C21" s="2"/>
    </row>
    <row r="22" spans="1:3" ht="20.25">
      <c r="A22" s="2">
        <v>21</v>
      </c>
      <c r="B22" s="2">
        <v>12</v>
      </c>
      <c r="C22" s="2"/>
    </row>
    <row r="23" spans="1:3" ht="20.25">
      <c r="A23" s="2">
        <v>22</v>
      </c>
      <c r="B23" s="2">
        <v>10</v>
      </c>
      <c r="C23" s="2"/>
    </row>
    <row r="24" spans="1:3" ht="20.25">
      <c r="A24" s="2">
        <v>23</v>
      </c>
      <c r="B24" s="2">
        <v>9</v>
      </c>
      <c r="C24" s="2"/>
    </row>
    <row r="25" spans="1:3" ht="20.25">
      <c r="A25" s="2">
        <v>24</v>
      </c>
      <c r="B25" s="2">
        <v>7.9</v>
      </c>
      <c r="C25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48DC-B912-486F-9103-C155DBFD6E1F}">
  <dimension ref="A1:H13"/>
  <sheetViews>
    <sheetView zoomScale="85" zoomScaleNormal="85" workbookViewId="0">
      <selection activeCell="F12" sqref="F12"/>
    </sheetView>
  </sheetViews>
  <sheetFormatPr defaultRowHeight="15"/>
  <cols>
    <col min="1" max="1" width="28" customWidth="1"/>
    <col min="2" max="2" width="14.5703125" customWidth="1"/>
    <col min="3" max="3" width="35.42578125" customWidth="1"/>
    <col min="4" max="5" width="23.7109375" customWidth="1"/>
    <col min="6" max="6" width="24.42578125" customWidth="1"/>
    <col min="7" max="7" width="3.28515625" customWidth="1"/>
    <col min="8" max="8" width="27.5703125" customWidth="1"/>
  </cols>
  <sheetData>
    <row r="1" spans="1:8" ht="21" thickBot="1">
      <c r="A1" s="8" t="s">
        <v>18</v>
      </c>
      <c r="B1" s="6"/>
      <c r="C1" s="6"/>
      <c r="D1" s="6"/>
      <c r="E1" s="6"/>
      <c r="F1" s="9"/>
      <c r="G1" s="2"/>
      <c r="H1" s="2"/>
    </row>
    <row r="2" spans="1:8" ht="41.25" thickBot="1">
      <c r="A2" s="10" t="s">
        <v>19</v>
      </c>
      <c r="B2" s="11" t="s">
        <v>20</v>
      </c>
      <c r="C2" s="11" t="s">
        <v>30</v>
      </c>
      <c r="D2" s="11" t="s">
        <v>31</v>
      </c>
      <c r="E2" s="11" t="s">
        <v>21</v>
      </c>
      <c r="F2" s="12" t="s">
        <v>32</v>
      </c>
      <c r="G2" s="2"/>
      <c r="H2" s="2"/>
    </row>
    <row r="3" spans="1:8" ht="21" thickBot="1">
      <c r="A3" s="10"/>
      <c r="B3" s="14" t="s">
        <v>6</v>
      </c>
      <c r="C3" s="14" t="s">
        <v>7</v>
      </c>
      <c r="D3" s="11"/>
      <c r="E3" s="11"/>
      <c r="F3" s="12"/>
      <c r="G3" s="2"/>
      <c r="H3" s="2"/>
    </row>
    <row r="4" spans="1:8" ht="20.25">
      <c r="A4" s="13" t="s">
        <v>22</v>
      </c>
      <c r="B4" s="13">
        <v>1</v>
      </c>
      <c r="C4" s="13">
        <v>0</v>
      </c>
      <c r="D4" s="13">
        <f>B4*$H$8+C4</f>
        <v>143.79562043795627</v>
      </c>
      <c r="E4" s="13">
        <v>6</v>
      </c>
      <c r="F4" s="13">
        <f>D4*E4</f>
        <v>862.7737226277377</v>
      </c>
      <c r="G4" s="2"/>
      <c r="H4" s="2"/>
    </row>
    <row r="5" spans="1:8" ht="20.25">
      <c r="A5" s="7" t="s">
        <v>23</v>
      </c>
      <c r="B5" s="7">
        <v>1.5</v>
      </c>
      <c r="C5" s="7">
        <v>0</v>
      </c>
      <c r="D5" s="7">
        <f t="shared" ref="D5:D11" si="0">B5*$H$8+C5</f>
        <v>215.69343065693442</v>
      </c>
      <c r="E5" s="7">
        <v>8</v>
      </c>
      <c r="F5" s="7">
        <f t="shared" ref="F5:F11" si="1">D5*E5</f>
        <v>1725.5474452554754</v>
      </c>
      <c r="G5" s="2"/>
      <c r="H5" s="2"/>
    </row>
    <row r="6" spans="1:8" ht="20.25" customHeight="1">
      <c r="A6" s="7" t="s">
        <v>24</v>
      </c>
      <c r="B6" s="7">
        <v>3</v>
      </c>
      <c r="C6" s="7">
        <v>0</v>
      </c>
      <c r="D6" s="7">
        <f t="shared" si="0"/>
        <v>431.38686131386885</v>
      </c>
      <c r="E6" s="7">
        <v>10</v>
      </c>
      <c r="F6" s="7">
        <f t="shared" si="1"/>
        <v>4313.8686131386885</v>
      </c>
      <c r="G6" s="4" t="s">
        <v>34</v>
      </c>
      <c r="H6" s="4"/>
    </row>
    <row r="7" spans="1:8" ht="20.25">
      <c r="A7" s="7" t="s">
        <v>25</v>
      </c>
      <c r="B7" s="7">
        <v>3</v>
      </c>
      <c r="C7" s="7">
        <v>30</v>
      </c>
      <c r="D7" s="7">
        <f t="shared" si="0"/>
        <v>461.38686131386885</v>
      </c>
      <c r="E7" s="7">
        <v>3</v>
      </c>
      <c r="F7" s="7">
        <f t="shared" si="1"/>
        <v>1384.1605839416065</v>
      </c>
      <c r="G7" s="4"/>
      <c r="H7" s="4"/>
    </row>
    <row r="8" spans="1:8" ht="20.25">
      <c r="A8" s="7" t="s">
        <v>26</v>
      </c>
      <c r="B8" s="7">
        <v>2</v>
      </c>
      <c r="C8" s="7">
        <v>0</v>
      </c>
      <c r="D8" s="7">
        <f t="shared" si="0"/>
        <v>287.59124087591255</v>
      </c>
      <c r="E8" s="7">
        <v>1</v>
      </c>
      <c r="F8" s="7">
        <f t="shared" si="1"/>
        <v>287.59124087591255</v>
      </c>
      <c r="G8" s="2"/>
      <c r="H8" s="2">
        <v>143.79562043795627</v>
      </c>
    </row>
    <row r="9" spans="1:8" ht="20.25">
      <c r="A9" s="7" t="s">
        <v>27</v>
      </c>
      <c r="B9" s="7">
        <v>1.5</v>
      </c>
      <c r="C9" s="7">
        <v>40</v>
      </c>
      <c r="D9" s="7">
        <f t="shared" si="0"/>
        <v>255.69343065693442</v>
      </c>
      <c r="E9" s="7">
        <v>1</v>
      </c>
      <c r="F9" s="7">
        <f t="shared" si="1"/>
        <v>255.69343065693442</v>
      </c>
      <c r="G9" s="2"/>
      <c r="H9" s="2"/>
    </row>
    <row r="10" spans="1:8" ht="20.25">
      <c r="A10" s="7" t="s">
        <v>28</v>
      </c>
      <c r="B10" s="7">
        <v>4</v>
      </c>
      <c r="C10" s="7">
        <v>0</v>
      </c>
      <c r="D10" s="7">
        <f t="shared" si="0"/>
        <v>575.18248175182509</v>
      </c>
      <c r="E10" s="7">
        <v>1</v>
      </c>
      <c r="F10" s="7">
        <f t="shared" si="1"/>
        <v>575.18248175182509</v>
      </c>
      <c r="G10" s="2"/>
      <c r="H10" s="2"/>
    </row>
    <row r="11" spans="1:8" ht="20.25">
      <c r="A11" s="7" t="s">
        <v>29</v>
      </c>
      <c r="B11" s="7">
        <v>4</v>
      </c>
      <c r="C11" s="7">
        <v>20</v>
      </c>
      <c r="D11" s="7">
        <f t="shared" si="0"/>
        <v>595.18248175182509</v>
      </c>
      <c r="E11" s="7">
        <v>1</v>
      </c>
      <c r="F11" s="7">
        <f t="shared" si="1"/>
        <v>595.18248175182509</v>
      </c>
      <c r="G11" s="2"/>
      <c r="H11" s="2"/>
    </row>
    <row r="12" spans="1:8" ht="40.5" customHeight="1">
      <c r="A12" s="2"/>
      <c r="B12" s="2"/>
      <c r="C12" s="4" t="s">
        <v>33</v>
      </c>
      <c r="D12" s="4"/>
      <c r="E12" s="4"/>
      <c r="F12" s="2">
        <f>SUM(F4:F11)</f>
        <v>10000.000000000004</v>
      </c>
      <c r="G12" s="2"/>
      <c r="H12" s="2"/>
    </row>
    <row r="13" spans="1:8" ht="20.25">
      <c r="A13" s="2"/>
      <c r="B13" s="2"/>
      <c r="C13" s="2"/>
      <c r="D13" s="2"/>
      <c r="E13" s="2"/>
      <c r="F13" s="2"/>
      <c r="G13" s="2"/>
      <c r="H13" s="2"/>
    </row>
  </sheetData>
  <mergeCells count="3">
    <mergeCell ref="A1:F1"/>
    <mergeCell ref="C12:E12"/>
    <mergeCell ref="G6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71F0-1E9D-4058-9022-032024674B47}">
  <dimension ref="A1:B2"/>
  <sheetViews>
    <sheetView tabSelected="1" workbookViewId="0">
      <selection activeCell="B2" sqref="B2"/>
    </sheetView>
  </sheetViews>
  <sheetFormatPr defaultRowHeight="15"/>
  <cols>
    <col min="1" max="1" width="27" customWidth="1"/>
    <col min="2" max="2" width="20.5703125" bestFit="1" customWidth="1"/>
  </cols>
  <sheetData>
    <row r="1" spans="1:2" ht="20.25">
      <c r="A1" s="2" t="s">
        <v>2</v>
      </c>
      <c r="B1" s="2" t="s">
        <v>35</v>
      </c>
    </row>
    <row r="2" spans="1:2" ht="20.25">
      <c r="A2" s="2">
        <v>0.87649723885592612</v>
      </c>
      <c r="B2" s="2">
        <f>A2^2-SIN(A2)</f>
        <v>-2.5495724770219219E-4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Амир Рамешк</dc:creator>
  <cp:lastModifiedBy>Амир Рамешк</cp:lastModifiedBy>
  <dcterms:created xsi:type="dcterms:W3CDTF">2026-04-19T06:24:02Z</dcterms:created>
  <dcterms:modified xsi:type="dcterms:W3CDTF">2026-04-19T08:36:36Z</dcterms:modified>
</cp:coreProperties>
</file>