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tw/Study/vyatsu_works/02.06.2026/optimizationMethods/"/>
    </mc:Choice>
  </mc:AlternateContent>
  <xr:revisionPtr revIDLastSave="0" documentId="13_ncr:1_{DE7FE7FA-44DE-6841-9B46-D55149949F4D}" xr6:coauthVersionLast="47" xr6:coauthVersionMax="47" xr10:uidLastSave="{00000000-0000-0000-0000-000000000000}"/>
  <bookViews>
    <workbookView xWindow="0" yWindow="600" windowWidth="30360" windowHeight="17400" firstSheet="12" activeTab="26" xr2:uid="{6D20C8F7-C5D0-E547-95CC-0B22E5C67ABC}"/>
  </bookViews>
  <sheets>
    <sheet name="1" sheetId="1" r:id="rId1"/>
    <sheet name="1_1" sheetId="3" r:id="rId2"/>
    <sheet name="1_2" sheetId="2" r:id="rId3"/>
    <sheet name="2" sheetId="4" r:id="rId4"/>
    <sheet name="2_1" sheetId="5" r:id="rId5"/>
    <sheet name="2_2" sheetId="6" r:id="rId6"/>
    <sheet name="3" sheetId="7" r:id="rId7"/>
    <sheet name="3_1" sheetId="12" r:id="rId8"/>
    <sheet name="3_2" sheetId="13" r:id="rId9"/>
    <sheet name="4" sheetId="14" r:id="rId10"/>
    <sheet name="4_1" sheetId="15" r:id="rId11"/>
    <sheet name="4_2" sheetId="16" r:id="rId12"/>
    <sheet name="5" sheetId="17" r:id="rId13"/>
    <sheet name="5_1" sheetId="18" r:id="rId14"/>
    <sheet name="5_2" sheetId="19" r:id="rId15"/>
    <sheet name="6" sheetId="20" r:id="rId16"/>
    <sheet name="6_1" sheetId="21" r:id="rId17"/>
    <sheet name="6_2" sheetId="22" r:id="rId18"/>
    <sheet name="7" sheetId="23" r:id="rId19"/>
    <sheet name="7_1" sheetId="24" r:id="rId20"/>
    <sheet name="7_2" sheetId="25" r:id="rId21"/>
    <sheet name="8" sheetId="26" r:id="rId22"/>
    <sheet name="8_1" sheetId="27" r:id="rId23"/>
    <sheet name="8_2" sheetId="28" r:id="rId24"/>
    <sheet name="9" sheetId="29" r:id="rId25"/>
    <sheet name="9_1" sheetId="30" r:id="rId26"/>
    <sheet name="9_2" sheetId="31" r:id="rId27"/>
  </sheets>
  <definedNames>
    <definedName name="solver_adj" localSheetId="0" hidden="1">'1'!$B$2:$C$2</definedName>
    <definedName name="solver_adj" localSheetId="3" hidden="1">'2'!$B$2:$C$2</definedName>
    <definedName name="solver_adj" localSheetId="6" hidden="1">'3'!$B$2:$H$2</definedName>
    <definedName name="solver_adj" localSheetId="9" hidden="1">'4'!$B$2:$D$2</definedName>
    <definedName name="solver_adj" localSheetId="12" hidden="1">'5'!$B$2:$E$2</definedName>
    <definedName name="solver_adj" localSheetId="15" hidden="1">'6'!$B$2:$E$2</definedName>
    <definedName name="solver_adj" localSheetId="18" hidden="1">'7'!$B$2:$D$2</definedName>
    <definedName name="solver_adj" localSheetId="21" hidden="1">'8'!$B$2:$D$2</definedName>
    <definedName name="solver_adj" localSheetId="24" hidden="1">'9'!$B$2:$E$2</definedName>
    <definedName name="solver_cvg" localSheetId="0" hidden="1">0.0001</definedName>
    <definedName name="solver_cvg" localSheetId="3" hidden="1">0.0001</definedName>
    <definedName name="solver_cvg" localSheetId="6" hidden="1">0.0001</definedName>
    <definedName name="solver_cvg" localSheetId="9" hidden="1">0.0001</definedName>
    <definedName name="solver_cvg" localSheetId="12" hidden="1">0.0001</definedName>
    <definedName name="solver_cvg" localSheetId="15" hidden="1">0.0001</definedName>
    <definedName name="solver_cvg" localSheetId="18" hidden="1">0.0001</definedName>
    <definedName name="solver_cvg" localSheetId="21" hidden="1">0.0001</definedName>
    <definedName name="solver_cvg" localSheetId="24" hidden="1">0.0001</definedName>
    <definedName name="solver_drv" localSheetId="0" hidden="1">1</definedName>
    <definedName name="solver_drv" localSheetId="3" hidden="1">1</definedName>
    <definedName name="solver_drv" localSheetId="6" hidden="1">1</definedName>
    <definedName name="solver_drv" localSheetId="9" hidden="1">1</definedName>
    <definedName name="solver_drv" localSheetId="12" hidden="1">1</definedName>
    <definedName name="solver_drv" localSheetId="15" hidden="1">1</definedName>
    <definedName name="solver_drv" localSheetId="18" hidden="1">1</definedName>
    <definedName name="solver_drv" localSheetId="21" hidden="1">1</definedName>
    <definedName name="solver_drv" localSheetId="24" hidden="1">1</definedName>
    <definedName name="solver_eng" localSheetId="0" hidden="1">2</definedName>
    <definedName name="solver_eng" localSheetId="3" hidden="1">2</definedName>
    <definedName name="solver_eng" localSheetId="6" hidden="1">2</definedName>
    <definedName name="solver_eng" localSheetId="9" hidden="1">2</definedName>
    <definedName name="solver_eng" localSheetId="12" hidden="1">2</definedName>
    <definedName name="solver_eng" localSheetId="15" hidden="1">2</definedName>
    <definedName name="solver_eng" localSheetId="18" hidden="1">2</definedName>
    <definedName name="solver_eng" localSheetId="21" hidden="1">2</definedName>
    <definedName name="solver_eng" localSheetId="24" hidden="1">2</definedName>
    <definedName name="solver_itr" localSheetId="0" hidden="1">2147483647</definedName>
    <definedName name="solver_itr" localSheetId="3" hidden="1">2147483647</definedName>
    <definedName name="solver_itr" localSheetId="6" hidden="1">2147483647</definedName>
    <definedName name="solver_itr" localSheetId="9" hidden="1">2147483647</definedName>
    <definedName name="solver_itr" localSheetId="12" hidden="1">2147483647</definedName>
    <definedName name="solver_itr" localSheetId="15" hidden="1">2147483647</definedName>
    <definedName name="solver_itr" localSheetId="18" hidden="1">2147483647</definedName>
    <definedName name="solver_itr" localSheetId="21" hidden="1">2147483647</definedName>
    <definedName name="solver_itr" localSheetId="24" hidden="1">2147483647</definedName>
    <definedName name="solver_lhs1" localSheetId="0" hidden="1">'1'!$B$2:$C$2</definedName>
    <definedName name="solver_lhs1" localSheetId="3" hidden="1">'2'!$D$3:$D$5</definedName>
    <definedName name="solver_lhs1" localSheetId="6" hidden="1">'3'!$B$2:$H$2</definedName>
    <definedName name="solver_lhs1" localSheetId="9" hidden="1">'4'!$B$2:$D$2</definedName>
    <definedName name="solver_lhs1" localSheetId="12" hidden="1">'5'!$B$2:$E$2</definedName>
    <definedName name="solver_lhs1" localSheetId="15" hidden="1">'6'!$B$2:$E$2</definedName>
    <definedName name="solver_lhs1" localSheetId="18" hidden="1">'7'!$B$2</definedName>
    <definedName name="solver_lhs1" localSheetId="21" hidden="1">'8'!$B$2:$D$2</definedName>
    <definedName name="solver_lhs1" localSheetId="24" hidden="1">'9'!$B$2</definedName>
    <definedName name="solver_lhs2" localSheetId="0" hidden="1">'1'!$D$3:$D$5</definedName>
    <definedName name="solver_lhs2" localSheetId="3" hidden="1">'2'!$D$3:$D$5</definedName>
    <definedName name="solver_lhs2" localSheetId="6" hidden="1">'3'!$I$3:$I$6</definedName>
    <definedName name="solver_lhs2" localSheetId="9" hidden="1">'4'!$E$3:$E$5</definedName>
    <definedName name="solver_lhs2" localSheetId="12" hidden="1">'5'!$F$3:$F$4</definedName>
    <definedName name="solver_lhs2" localSheetId="15" hidden="1">'6'!$F$3:$F$5</definedName>
    <definedName name="solver_lhs2" localSheetId="18" hidden="1">'7'!$B$2</definedName>
    <definedName name="solver_lhs2" localSheetId="21" hidden="1">'8'!$E$3:$E$5</definedName>
    <definedName name="solver_lhs2" localSheetId="24" hidden="1">'9'!$C$2</definedName>
    <definedName name="solver_lhs3" localSheetId="0" hidden="1">'1'!$D$3:$D$5</definedName>
    <definedName name="solver_lhs3" localSheetId="3" hidden="1">'2'!$D$3:$D$5</definedName>
    <definedName name="solver_lhs3" localSheetId="9" hidden="1">'4'!$E$3:$E$5</definedName>
    <definedName name="solver_lhs3" localSheetId="18" hidden="1">'7'!$C$2</definedName>
    <definedName name="solver_lhs3" localSheetId="24" hidden="1">'9'!$D$2</definedName>
    <definedName name="solver_lhs4" localSheetId="18" hidden="1">'7'!$C$2</definedName>
    <definedName name="solver_lhs4" localSheetId="24" hidden="1">'9'!$E$2</definedName>
    <definedName name="solver_lhs5" localSheetId="18" hidden="1">'7'!$D$2</definedName>
    <definedName name="solver_lhs5" localSheetId="24" hidden="1">'9'!$F$3:$F$6</definedName>
    <definedName name="solver_lhs6" localSheetId="18" hidden="1">'7'!$D$2</definedName>
    <definedName name="solver_lhs6" localSheetId="24" hidden="1">'9'!$F$7</definedName>
    <definedName name="solver_lhs7" localSheetId="18" hidden="1">'7'!$E$3:$E$6</definedName>
    <definedName name="solver_lin" localSheetId="0" hidden="1">1</definedName>
    <definedName name="solver_lin" localSheetId="3" hidden="1">1</definedName>
    <definedName name="solver_lin" localSheetId="6" hidden="1">1</definedName>
    <definedName name="solver_lin" localSheetId="9" hidden="1">1</definedName>
    <definedName name="solver_lin" localSheetId="12" hidden="1">1</definedName>
    <definedName name="solver_lin" localSheetId="15" hidden="1">1</definedName>
    <definedName name="solver_lin" localSheetId="18" hidden="1">1</definedName>
    <definedName name="solver_lin" localSheetId="21" hidden="1">1</definedName>
    <definedName name="solver_lin" localSheetId="24" hidden="1">1</definedName>
    <definedName name="solver_mip" localSheetId="0" hidden="1">2147483647</definedName>
    <definedName name="solver_mip" localSheetId="3" hidden="1">2147483647</definedName>
    <definedName name="solver_mip" localSheetId="6" hidden="1">2147483647</definedName>
    <definedName name="solver_mip" localSheetId="9" hidden="1">2147483647</definedName>
    <definedName name="solver_mip" localSheetId="12" hidden="1">2147483647</definedName>
    <definedName name="solver_mip" localSheetId="15" hidden="1">2147483647</definedName>
    <definedName name="solver_mip" localSheetId="18" hidden="1">2147483647</definedName>
    <definedName name="solver_mip" localSheetId="21" hidden="1">2147483647</definedName>
    <definedName name="solver_mip" localSheetId="24" hidden="1">2147483647</definedName>
    <definedName name="solver_mni" localSheetId="0" hidden="1">30</definedName>
    <definedName name="solver_mni" localSheetId="3" hidden="1">30</definedName>
    <definedName name="solver_mni" localSheetId="6" hidden="1">30</definedName>
    <definedName name="solver_mni" localSheetId="9" hidden="1">30</definedName>
    <definedName name="solver_mni" localSheetId="12" hidden="1">30</definedName>
    <definedName name="solver_mni" localSheetId="15" hidden="1">30</definedName>
    <definedName name="solver_mni" localSheetId="18" hidden="1">30</definedName>
    <definedName name="solver_mni" localSheetId="21" hidden="1">30</definedName>
    <definedName name="solver_mni" localSheetId="24" hidden="1">30</definedName>
    <definedName name="solver_mrt" localSheetId="0" hidden="1">0.075</definedName>
    <definedName name="solver_mrt" localSheetId="3" hidden="1">0.075</definedName>
    <definedName name="solver_mrt" localSheetId="6" hidden="1">0.075</definedName>
    <definedName name="solver_mrt" localSheetId="9" hidden="1">0.075</definedName>
    <definedName name="solver_mrt" localSheetId="12" hidden="1">0.075</definedName>
    <definedName name="solver_mrt" localSheetId="15" hidden="1">0.075</definedName>
    <definedName name="solver_mrt" localSheetId="18" hidden="1">0.075</definedName>
    <definedName name="solver_mrt" localSheetId="21" hidden="1">0.075</definedName>
    <definedName name="solver_mrt" localSheetId="24" hidden="1">0.075</definedName>
    <definedName name="solver_msl" localSheetId="0" hidden="1">2</definedName>
    <definedName name="solver_msl" localSheetId="3" hidden="1">2</definedName>
    <definedName name="solver_msl" localSheetId="6" hidden="1">2</definedName>
    <definedName name="solver_msl" localSheetId="9" hidden="1">2</definedName>
    <definedName name="solver_msl" localSheetId="12" hidden="1">2</definedName>
    <definedName name="solver_msl" localSheetId="15" hidden="1">2</definedName>
    <definedName name="solver_msl" localSheetId="18" hidden="1">2</definedName>
    <definedName name="solver_msl" localSheetId="21" hidden="1">2</definedName>
    <definedName name="solver_msl" localSheetId="24" hidden="1">2</definedName>
    <definedName name="solver_neg" localSheetId="0" hidden="1">1</definedName>
    <definedName name="solver_neg" localSheetId="3" hidden="1">1</definedName>
    <definedName name="solver_neg" localSheetId="6" hidden="1">1</definedName>
    <definedName name="solver_neg" localSheetId="9" hidden="1">1</definedName>
    <definedName name="solver_neg" localSheetId="12" hidden="1">1</definedName>
    <definedName name="solver_neg" localSheetId="15" hidden="1">1</definedName>
    <definedName name="solver_neg" localSheetId="18" hidden="1">1</definedName>
    <definedName name="solver_neg" localSheetId="21" hidden="1">1</definedName>
    <definedName name="solver_neg" localSheetId="24" hidden="1">1</definedName>
    <definedName name="solver_nod" localSheetId="0" hidden="1">2147483647</definedName>
    <definedName name="solver_nod" localSheetId="3" hidden="1">2147483647</definedName>
    <definedName name="solver_nod" localSheetId="6" hidden="1">2147483647</definedName>
    <definedName name="solver_nod" localSheetId="9" hidden="1">2147483647</definedName>
    <definedName name="solver_nod" localSheetId="12" hidden="1">2147483647</definedName>
    <definedName name="solver_nod" localSheetId="15" hidden="1">2147483647</definedName>
    <definedName name="solver_nod" localSheetId="18" hidden="1">2147483647</definedName>
    <definedName name="solver_nod" localSheetId="21" hidden="1">2147483647</definedName>
    <definedName name="solver_nod" localSheetId="24" hidden="1">2147483647</definedName>
    <definedName name="solver_num" localSheetId="0" hidden="1">2</definedName>
    <definedName name="solver_num" localSheetId="3" hidden="1">1</definedName>
    <definedName name="solver_num" localSheetId="6" hidden="1">2</definedName>
    <definedName name="solver_num" localSheetId="9" hidden="1">2</definedName>
    <definedName name="solver_num" localSheetId="12" hidden="1">2</definedName>
    <definedName name="solver_num" localSheetId="15" hidden="1">2</definedName>
    <definedName name="solver_num" localSheetId="18" hidden="1">7</definedName>
    <definedName name="solver_num" localSheetId="21" hidden="1">2</definedName>
    <definedName name="solver_num" localSheetId="24" hidden="1">6</definedName>
    <definedName name="solver_opt" localSheetId="0" hidden="1">'1'!$D$6</definedName>
    <definedName name="solver_opt" localSheetId="3" hidden="1">'2'!$D$6</definedName>
    <definedName name="solver_opt" localSheetId="6" hidden="1">'3'!$I$7</definedName>
    <definedName name="solver_opt" localSheetId="9" hidden="1">'4'!$E$6</definedName>
    <definedName name="solver_opt" localSheetId="12" hidden="1">'5'!$F$5</definedName>
    <definedName name="solver_opt" localSheetId="15" hidden="1">'6'!$F$6</definedName>
    <definedName name="solver_opt" localSheetId="18" hidden="1">'7'!$E$7</definedName>
    <definedName name="solver_opt" localSheetId="21" hidden="1">'8'!$E$6</definedName>
    <definedName name="solver_opt" localSheetId="24" hidden="1">'9'!$F$8</definedName>
    <definedName name="solver_pre" localSheetId="0" hidden="1">0.000001</definedName>
    <definedName name="solver_pre" localSheetId="3" hidden="1">0.000001</definedName>
    <definedName name="solver_pre" localSheetId="6" hidden="1">0.000001</definedName>
    <definedName name="solver_pre" localSheetId="9" hidden="1">0.000001</definedName>
    <definedName name="solver_pre" localSheetId="12" hidden="1">0.000001</definedName>
    <definedName name="solver_pre" localSheetId="15" hidden="1">0.000001</definedName>
    <definedName name="solver_pre" localSheetId="18" hidden="1">0.000001</definedName>
    <definedName name="solver_pre" localSheetId="21" hidden="1">0.000001</definedName>
    <definedName name="solver_pre" localSheetId="24" hidden="1">0.000001</definedName>
    <definedName name="solver_rbv" localSheetId="0" hidden="1">1</definedName>
    <definedName name="solver_rbv" localSheetId="3" hidden="1">1</definedName>
    <definedName name="solver_rbv" localSheetId="6" hidden="1">1</definedName>
    <definedName name="solver_rbv" localSheetId="9" hidden="1">1</definedName>
    <definedName name="solver_rbv" localSheetId="12" hidden="1">1</definedName>
    <definedName name="solver_rbv" localSheetId="15" hidden="1">1</definedName>
    <definedName name="solver_rbv" localSheetId="18" hidden="1">1</definedName>
    <definedName name="solver_rbv" localSheetId="21" hidden="1">1</definedName>
    <definedName name="solver_rbv" localSheetId="24" hidden="1">1</definedName>
    <definedName name="solver_rel1" localSheetId="0" hidden="1">3</definedName>
    <definedName name="solver_rel1" localSheetId="3" hidden="1">1</definedName>
    <definedName name="solver_rel1" localSheetId="6" hidden="1">3</definedName>
    <definedName name="solver_rel1" localSheetId="9" hidden="1">3</definedName>
    <definedName name="solver_rel1" localSheetId="12" hidden="1">3</definedName>
    <definedName name="solver_rel1" localSheetId="15" hidden="1">3</definedName>
    <definedName name="solver_rel1" localSheetId="18" hidden="1">1</definedName>
    <definedName name="solver_rel1" localSheetId="21" hidden="1">3</definedName>
    <definedName name="solver_rel1" localSheetId="24" hidden="1">3</definedName>
    <definedName name="solver_rel2" localSheetId="0" hidden="1">1</definedName>
    <definedName name="solver_rel2" localSheetId="3" hidden="1">1</definedName>
    <definedName name="solver_rel2" localSheetId="6" hidden="1">3</definedName>
    <definedName name="solver_rel2" localSheetId="9" hidden="1">1</definedName>
    <definedName name="solver_rel2" localSheetId="12" hidden="1">1</definedName>
    <definedName name="solver_rel2" localSheetId="15" hidden="1">1</definedName>
    <definedName name="solver_rel2" localSheetId="18" hidden="1">3</definedName>
    <definedName name="solver_rel2" localSheetId="21" hidden="1">1</definedName>
    <definedName name="solver_rel2" localSheetId="24" hidden="1">3</definedName>
    <definedName name="solver_rel3" localSheetId="0" hidden="1">1</definedName>
    <definedName name="solver_rel3" localSheetId="3" hidden="1">1</definedName>
    <definedName name="solver_rel3" localSheetId="9" hidden="1">1</definedName>
    <definedName name="solver_rel3" localSheetId="18" hidden="1">1</definedName>
    <definedName name="solver_rel3" localSheetId="24" hidden="1">3</definedName>
    <definedName name="solver_rel4" localSheetId="18" hidden="1">3</definedName>
    <definedName name="solver_rel4" localSheetId="24" hidden="1">3</definedName>
    <definedName name="solver_rel5" localSheetId="18" hidden="1">1</definedName>
    <definedName name="solver_rel5" localSheetId="24" hidden="1">1</definedName>
    <definedName name="solver_rel6" localSheetId="18" hidden="1">3</definedName>
    <definedName name="solver_rel6" localSheetId="24" hidden="1">1</definedName>
    <definedName name="solver_rel7" localSheetId="18" hidden="1">1</definedName>
    <definedName name="solver_rhs1" localSheetId="0" hidden="1">0</definedName>
    <definedName name="solver_rhs1" localSheetId="3" hidden="1">'2'!$E$3:$E$5</definedName>
    <definedName name="solver_rhs1" localSheetId="6" hidden="1">0</definedName>
    <definedName name="solver_rhs1" localSheetId="9" hidden="1">0</definedName>
    <definedName name="solver_rhs1" localSheetId="12" hidden="1">0</definedName>
    <definedName name="solver_rhs1" localSheetId="15" hidden="1">0</definedName>
    <definedName name="solver_rhs1" localSheetId="18" hidden="1">20</definedName>
    <definedName name="solver_rhs1" localSheetId="21" hidden="1">0</definedName>
    <definedName name="solver_rhs1" localSheetId="24" hidden="1">1200</definedName>
    <definedName name="solver_rhs2" localSheetId="0" hidden="1">'1'!$E$3:$E$5</definedName>
    <definedName name="solver_rhs2" localSheetId="3" hidden="1">'2'!$E$3:$E$5</definedName>
    <definedName name="solver_rhs2" localSheetId="6" hidden="1">'3'!$J$3:$J$6</definedName>
    <definedName name="solver_rhs2" localSheetId="9" hidden="1">'4'!$F$3:$F$5</definedName>
    <definedName name="solver_rhs2" localSheetId="12" hidden="1">'5'!$G$3:$G$4</definedName>
    <definedName name="solver_rhs2" localSheetId="15" hidden="1">'6'!$G$3:$G$5</definedName>
    <definedName name="solver_rhs2" localSheetId="18" hidden="1">10</definedName>
    <definedName name="solver_rhs2" localSheetId="21" hidden="1">'8'!$F$3:$F$5</definedName>
    <definedName name="solver_rhs2" localSheetId="24" hidden="1">1000</definedName>
    <definedName name="solver_rhs3" localSheetId="0" hidden="1">'1'!$E$3:$E$5</definedName>
    <definedName name="solver_rhs3" localSheetId="3" hidden="1">'2'!$E$3:$E$5</definedName>
    <definedName name="solver_rhs3" localSheetId="9" hidden="1">'4'!$F$3:$F$5</definedName>
    <definedName name="solver_rhs3" localSheetId="18" hidden="1">40</definedName>
    <definedName name="solver_rhs3" localSheetId="24" hidden="1">1500</definedName>
    <definedName name="solver_rhs4" localSheetId="18" hidden="1">20</definedName>
    <definedName name="solver_rhs4" localSheetId="24" hidden="1">1200</definedName>
    <definedName name="solver_rhs5" localSheetId="18" hidden="1">100</definedName>
    <definedName name="solver_rhs5" localSheetId="24" hidden="1">'9'!$G$3:$G$6</definedName>
    <definedName name="solver_rhs6" localSheetId="18" hidden="1">25</definedName>
    <definedName name="solver_rhs6" localSheetId="24" hidden="1">'9'!$G$7</definedName>
    <definedName name="solver_rhs7" localSheetId="18" hidden="1">'7'!$F$3:$F$6</definedName>
    <definedName name="solver_rlx" localSheetId="0" hidden="1">2</definedName>
    <definedName name="solver_rlx" localSheetId="3" hidden="1">2</definedName>
    <definedName name="solver_rlx" localSheetId="6" hidden="1">2</definedName>
    <definedName name="solver_rlx" localSheetId="9" hidden="1">2</definedName>
    <definedName name="solver_rlx" localSheetId="12" hidden="1">1</definedName>
    <definedName name="solver_rlx" localSheetId="15" hidden="1">2</definedName>
    <definedName name="solver_rlx" localSheetId="18" hidden="1">2</definedName>
    <definedName name="solver_rlx" localSheetId="21" hidden="1">2</definedName>
    <definedName name="solver_rlx" localSheetId="24" hidden="1">2</definedName>
    <definedName name="solver_rsd" localSheetId="0" hidden="1">0</definedName>
    <definedName name="solver_rsd" localSheetId="3" hidden="1">0</definedName>
    <definedName name="solver_rsd" localSheetId="6" hidden="1">0</definedName>
    <definedName name="solver_rsd" localSheetId="9" hidden="1">0</definedName>
    <definedName name="solver_rsd" localSheetId="12" hidden="1">0</definedName>
    <definedName name="solver_rsd" localSheetId="15" hidden="1">0</definedName>
    <definedName name="solver_rsd" localSheetId="18" hidden="1">0</definedName>
    <definedName name="solver_rsd" localSheetId="21" hidden="1">0</definedName>
    <definedName name="solver_rsd" localSheetId="24" hidden="1">0</definedName>
    <definedName name="solver_scl" localSheetId="0" hidden="1">1</definedName>
    <definedName name="solver_scl" localSheetId="3" hidden="1">1</definedName>
    <definedName name="solver_scl" localSheetId="6" hidden="1">1</definedName>
    <definedName name="solver_scl" localSheetId="9" hidden="1">1</definedName>
    <definedName name="solver_scl" localSheetId="12" hidden="1">2</definedName>
    <definedName name="solver_scl" localSheetId="15" hidden="1">1</definedName>
    <definedName name="solver_scl" localSheetId="18" hidden="1">1</definedName>
    <definedName name="solver_scl" localSheetId="21" hidden="1">1</definedName>
    <definedName name="solver_scl" localSheetId="24" hidden="1">1</definedName>
    <definedName name="solver_sho" localSheetId="0" hidden="1">2</definedName>
    <definedName name="solver_sho" localSheetId="3" hidden="1">2</definedName>
    <definedName name="solver_sho" localSheetId="6" hidden="1">2</definedName>
    <definedName name="solver_sho" localSheetId="9" hidden="1">2</definedName>
    <definedName name="solver_sho" localSheetId="12" hidden="1">2</definedName>
    <definedName name="solver_sho" localSheetId="15" hidden="1">2</definedName>
    <definedName name="solver_sho" localSheetId="18" hidden="1">2</definedName>
    <definedName name="solver_sho" localSheetId="21" hidden="1">2</definedName>
    <definedName name="solver_sho" localSheetId="24" hidden="1">2</definedName>
    <definedName name="solver_ssz" localSheetId="0" hidden="1">100</definedName>
    <definedName name="solver_ssz" localSheetId="3" hidden="1">100</definedName>
    <definedName name="solver_ssz" localSheetId="6" hidden="1">100</definedName>
    <definedName name="solver_ssz" localSheetId="9" hidden="1">100</definedName>
    <definedName name="solver_ssz" localSheetId="12" hidden="1">100</definedName>
    <definedName name="solver_ssz" localSheetId="15" hidden="1">100</definedName>
    <definedName name="solver_ssz" localSheetId="18" hidden="1">100</definedName>
    <definedName name="solver_ssz" localSheetId="21" hidden="1">100</definedName>
    <definedName name="solver_ssz" localSheetId="24" hidden="1">100</definedName>
    <definedName name="solver_tim" localSheetId="0" hidden="1">2147483647</definedName>
    <definedName name="solver_tim" localSheetId="3" hidden="1">2147483647</definedName>
    <definedName name="solver_tim" localSheetId="6" hidden="1">2147483647</definedName>
    <definedName name="solver_tim" localSheetId="9" hidden="1">2147483647</definedName>
    <definedName name="solver_tim" localSheetId="12" hidden="1">2147483647</definedName>
    <definedName name="solver_tim" localSheetId="15" hidden="1">2147483647</definedName>
    <definedName name="solver_tim" localSheetId="18" hidden="1">2147483647</definedName>
    <definedName name="solver_tim" localSheetId="21" hidden="1">2147483647</definedName>
    <definedName name="solver_tim" localSheetId="24" hidden="1">2147483647</definedName>
    <definedName name="solver_tol" localSheetId="0" hidden="1">0.01</definedName>
    <definedName name="solver_tol" localSheetId="3" hidden="1">0.01</definedName>
    <definedName name="solver_tol" localSheetId="6" hidden="1">0.01</definedName>
    <definedName name="solver_tol" localSheetId="9" hidden="1">0.01</definedName>
    <definedName name="solver_tol" localSheetId="12" hidden="1">0.01</definedName>
    <definedName name="solver_tol" localSheetId="15" hidden="1">0.01</definedName>
    <definedName name="solver_tol" localSheetId="18" hidden="1">0.01</definedName>
    <definedName name="solver_tol" localSheetId="21" hidden="1">0.01</definedName>
    <definedName name="solver_tol" localSheetId="24" hidden="1">0.01</definedName>
    <definedName name="solver_typ" localSheetId="0" hidden="1">1</definedName>
    <definedName name="solver_typ" localSheetId="3" hidden="1">1</definedName>
    <definedName name="solver_typ" localSheetId="6" hidden="1">2</definedName>
    <definedName name="solver_typ" localSheetId="9" hidden="1">1</definedName>
    <definedName name="solver_typ" localSheetId="12" hidden="1">1</definedName>
    <definedName name="solver_typ" localSheetId="15" hidden="1">1</definedName>
    <definedName name="solver_typ" localSheetId="18" hidden="1">1</definedName>
    <definedName name="solver_typ" localSheetId="21" hidden="1">1</definedName>
    <definedName name="solver_typ" localSheetId="24" hidden="1">1</definedName>
    <definedName name="solver_val" localSheetId="0" hidden="1">0</definedName>
    <definedName name="solver_val" localSheetId="3" hidden="1">0</definedName>
    <definedName name="solver_val" localSheetId="6" hidden="1">0</definedName>
    <definedName name="solver_val" localSheetId="9" hidden="1">0</definedName>
    <definedName name="solver_val" localSheetId="12" hidden="1">0</definedName>
    <definedName name="solver_val" localSheetId="15" hidden="1">0</definedName>
    <definedName name="solver_val" localSheetId="18" hidden="1">0</definedName>
    <definedName name="solver_val" localSheetId="21" hidden="1">0</definedName>
    <definedName name="solver_val" localSheetId="24" hidden="1">0</definedName>
    <definedName name="solver_ver" localSheetId="0" hidden="1">2</definedName>
    <definedName name="solver_ver" localSheetId="3" hidden="1">2</definedName>
    <definedName name="solver_ver" localSheetId="6" hidden="1">2</definedName>
    <definedName name="solver_ver" localSheetId="9" hidden="1">2</definedName>
    <definedName name="solver_ver" localSheetId="12" hidden="1">2</definedName>
    <definedName name="solver_ver" localSheetId="15" hidden="1">2</definedName>
    <definedName name="solver_ver" localSheetId="18" hidden="1">2</definedName>
    <definedName name="solver_ver" localSheetId="21" hidden="1">2</definedName>
    <definedName name="solver_ver" localSheetId="24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9" l="1"/>
  <c r="F4" i="29"/>
  <c r="F5" i="29"/>
  <c r="F6" i="29"/>
  <c r="F7" i="29"/>
  <c r="F8" i="29"/>
  <c r="E3" i="26"/>
  <c r="E4" i="26"/>
  <c r="E5" i="26"/>
  <c r="E6" i="26"/>
  <c r="E3" i="23"/>
  <c r="E4" i="23"/>
  <c r="E5" i="23"/>
  <c r="E6" i="23"/>
  <c r="E7" i="23"/>
  <c r="F3" i="20"/>
  <c r="F4" i="20"/>
  <c r="F5" i="20"/>
  <c r="F6" i="20"/>
  <c r="F3" i="17"/>
  <c r="F4" i="17"/>
  <c r="F5" i="17"/>
  <c r="E3" i="14"/>
  <c r="E4" i="14"/>
  <c r="E5" i="14"/>
  <c r="E6" i="14"/>
  <c r="I3" i="7"/>
  <c r="I4" i="7"/>
  <c r="I5" i="7"/>
  <c r="I6" i="7"/>
  <c r="I7" i="7"/>
  <c r="D3" i="4"/>
  <c r="D4" i="4"/>
  <c r="D5" i="4"/>
  <c r="D6" i="4"/>
  <c r="D3" i="1"/>
  <c r="D4" i="1"/>
  <c r="D5" i="1"/>
  <c r="D6" i="1"/>
</calcChain>
</file>

<file path=xl/sharedStrings.xml><?xml version="1.0" encoding="utf-8"?>
<sst xmlns="http://schemas.openxmlformats.org/spreadsheetml/2006/main" count="1155" uniqueCount="307">
  <si>
    <t>Ресурсы</t>
  </si>
  <si>
    <t>Использовано</t>
  </si>
  <si>
    <t>Лимит</t>
  </si>
  <si>
    <t>План производства (шт)</t>
  </si>
  <si>
    <t>Древесина 1-го вида</t>
  </si>
  <si>
    <t>Древесина 2-го вида</t>
  </si>
  <si>
    <t>Трудоемкость</t>
  </si>
  <si>
    <t>Прибыль (руб.)</t>
  </si>
  <si>
    <t>Стол (x1​)</t>
  </si>
  <si>
    <t>Шкаф (x2​)</t>
  </si>
  <si>
    <t>Найти MAX</t>
  </si>
  <si>
    <t>Microsoft Excel 16.107 Отчет о результатах</t>
  </si>
  <si>
    <t>Лист: [Книга1.xlsx]Sheet1</t>
  </si>
  <si>
    <t>Отчет создан: 4/5/26 8:38:31 AM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</si>
  <si>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</si>
  <si>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</si>
  <si>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линейных задач симплекс-методом</t>
  </si>
  <si>
    <t>Время решения: 183.469 секунд.</t>
  </si>
  <si>
    <t>Число итераций: 1 Число подзадач: 0</t>
  </si>
  <si>
    <t>Параметры поиска решения</t>
  </si>
  <si>
    <t>Максимальное время Без пределов,  Число итераций Без пределов, Precision 0.000001, Использовать автоматическое масштабирование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</si>
  <si>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</si>
  <si>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</si>
  <si>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</si>
  <si>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</si>
  <si>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</si>
  <si>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</si>
  <si>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</si>
  <si>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</si>
  <si>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</si>
  <si>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</si>
  <si>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</si>
  <si>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</si>
  <si>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</si>
  <si>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$D$6</t>
  </si>
  <si>
    <t>Прибыль (руб.) Использовано</t>
  </si>
  <si>
    <t>$B$2</t>
  </si>
  <si>
    <t>План производства (шт) Стол (x1​)</t>
  </si>
  <si>
    <t>Продолжить</t>
  </si>
  <si>
    <t>$C$2</t>
  </si>
  <si>
    <t>План производства (шт) Шкаф (x2​)</t>
  </si>
  <si>
    <t>$D$3</t>
  </si>
  <si>
    <t>Древесина 1-го вида Использовано</t>
  </si>
  <si>
    <t>$D$3&lt;=$E$3</t>
  </si>
  <si>
    <t>Без привязки</t>
  </si>
  <si>
    <t>$D$4</t>
  </si>
  <si>
    <t>Древесина 2-го вида Использовано</t>
  </si>
  <si>
    <t>$D$4&lt;=$E$4</t>
  </si>
  <si>
    <t>Привязка</t>
  </si>
  <si>
    <t>$D$5</t>
  </si>
  <si>
    <t>Трудоемкость Использовано</t>
  </si>
  <si>
    <t>$D$5&lt;=$E$5</t>
  </si>
  <si>
    <t>$B$2&gt;=0</t>
  </si>
  <si>
    <t>$C$2&gt;=0</t>
  </si>
  <si>
    <t>$D$3:$D$5 &lt;= $E$3:$E$5</t>
  </si>
  <si>
    <t>Microsoft Excel 16.107 Отчет об устойчивости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</si>
  <si>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</si>
  <si>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</si>
  <si>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</si>
  <si>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</si>
  <si>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</si>
  <si>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</si>
  <si>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</si>
  <si>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</si>
  <si>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</si>
  <si>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Тень</t>
  </si>
  <si>
    <t>Цена</t>
  </si>
  <si>
    <t>Ограничение</t>
  </si>
  <si>
    <t>Правая сторона</t>
  </si>
  <si>
    <t>Оборудование</t>
  </si>
  <si>
    <t>Изделие А (x1​)</t>
  </si>
  <si>
    <t>Изделие В (x2​)</t>
  </si>
  <si>
    <t>Лимит фонда</t>
  </si>
  <si>
    <t>План выпуска (шт)</t>
  </si>
  <si>
    <t>Фрезерное</t>
  </si>
  <si>
    <t>Токарное</t>
  </si>
  <si>
    <t>Шлифовальное</t>
  </si>
  <si>
    <t>Лист: [Книга1.xlsx]2</t>
  </si>
  <si>
    <t>Отчет создан: 4/5/26 8:55:16 AM</t>
  </si>
  <si>
    <t>Время решения: 173.715 секунд.</t>
  </si>
  <si>
    <t>Число итераций: 2 Число подзадач: 0</t>
  </si>
  <si>
    <t>План выпуска (шт) Изделие А (x1​)</t>
  </si>
  <si>
    <t>План выпуска (шт) Изделие В (x2​)</t>
  </si>
  <si>
    <t>Фрезерное Использовано</t>
  </si>
  <si>
    <t>Токарное Использовано</t>
  </si>
  <si>
    <t>Шлифовальное Использовано</t>
  </si>
  <si>
    <t>Питательные вещества</t>
  </si>
  <si>
    <t>Мясо</t>
  </si>
  <si>
    <t>Рыба</t>
  </si>
  <si>
    <t>Молоко</t>
  </si>
  <si>
    <t>Масло</t>
  </si>
  <si>
    <t>Сыр</t>
  </si>
  <si>
    <t>Крупа</t>
  </si>
  <si>
    <t>Картофель</t>
  </si>
  <si>
    <t>Итого съедено</t>
  </si>
  <si>
    <t>Норма (не менее)</t>
  </si>
  <si>
    <t>Рацион (кг)</t>
  </si>
  <si>
    <t>Белки</t>
  </si>
  <si>
    <t>Жиры</t>
  </si>
  <si>
    <t>Углеводы</t>
  </si>
  <si>
    <t>Минеральные соли</t>
  </si>
  <si>
    <t>Цена (руб.)</t>
  </si>
  <si>
    <t>Лист: [Книга1.xlsx]3</t>
  </si>
  <si>
    <t>Ячейка целевой функции (Минимум)</t>
  </si>
  <si>
    <t>$I$7</t>
  </si>
  <si>
    <t>Цена (руб.) Итого съедено</t>
  </si>
  <si>
    <t>Рацион (кг) Мясо</t>
  </si>
  <si>
    <t>Рацион (кг) Рыба</t>
  </si>
  <si>
    <t>$D$2</t>
  </si>
  <si>
    <t>Рацион (кг) Молоко</t>
  </si>
  <si>
    <t>$E$2</t>
  </si>
  <si>
    <t>Рацион (кг) Масло</t>
  </si>
  <si>
    <t>$F$2</t>
  </si>
  <si>
    <t>Рацион (кг) Сыр</t>
  </si>
  <si>
    <t>$G$2</t>
  </si>
  <si>
    <t>Рацион (кг) Крупа</t>
  </si>
  <si>
    <t>$H$2</t>
  </si>
  <si>
    <t>Рацион (кг) Картофель</t>
  </si>
  <si>
    <t>$I$3</t>
  </si>
  <si>
    <t>Белки Итого съедено</t>
  </si>
  <si>
    <t>$I$4</t>
  </si>
  <si>
    <t>Жиры Итого съедено</t>
  </si>
  <si>
    <t>$I$5</t>
  </si>
  <si>
    <t>Углеводы Итого съедено</t>
  </si>
  <si>
    <t>$I$6</t>
  </si>
  <si>
    <t>Минеральные соли Итого съедено</t>
  </si>
  <si>
    <t>$D$2&gt;=0</t>
  </si>
  <si>
    <t>$E$2&gt;=0</t>
  </si>
  <si>
    <t>$F$2&gt;=0</t>
  </si>
  <si>
    <t>$G$2&gt;=0</t>
  </si>
  <si>
    <t>$H$2&gt;=0</t>
  </si>
  <si>
    <t>$B$2:$H$2</t>
  </si>
  <si>
    <t>$B$2:$H$2 &gt;= 0</t>
  </si>
  <si>
    <t>Отчет создан: 4/5/26 9:25:37 AM</t>
  </si>
  <si>
    <t>Время решения: 204.709 секунд.</t>
  </si>
  <si>
    <t>Число итераций: 7 Число подзадач: 0</t>
  </si>
  <si>
    <t>$I$3&gt;=$J$3</t>
  </si>
  <si>
    <t>$I$4&gt;=$J$4</t>
  </si>
  <si>
    <t>$I$5&gt;=$J$5</t>
  </si>
  <si>
    <t>$I$6&gt;=$J$6</t>
  </si>
  <si>
    <t>$I$3:$I$6 &gt;= $J$3:$J$6</t>
  </si>
  <si>
    <t>Отчет создан: 4/5/26 9:25:38 AM</t>
  </si>
  <si>
    <t>«Взлетная»</t>
  </si>
  <si>
    <t>«Ягодная»</t>
  </si>
  <si>
    <t>«Клубника»</t>
  </si>
  <si>
    <t>Лимит сырья</t>
  </si>
  <si>
    <t>План (т)</t>
  </si>
  <si>
    <t>Сахарный песок</t>
  </si>
  <si>
    <t>Патока</t>
  </si>
  <si>
    <t>Фруктовое пюре</t>
  </si>
  <si>
    <t>Прибыль (тыс. руб)</t>
  </si>
  <si>
    <t>Лист: [Книга1.xlsx]4</t>
  </si>
  <si>
    <t>Отчет создан: 4/5/26 9:37:27 AM</t>
  </si>
  <si>
    <t>Время решения: 187.627 секунд.</t>
  </si>
  <si>
    <t>$E$6</t>
  </si>
  <si>
    <t>Прибыль (тыс. руб) Использовано</t>
  </si>
  <si>
    <t>План (т) «Взлетная»</t>
  </si>
  <si>
    <t>План (т) «Ягодная»</t>
  </si>
  <si>
    <t>План (т) «Клубника»</t>
  </si>
  <si>
    <t>$E$3</t>
  </si>
  <si>
    <t>Сахарный песок Использовано</t>
  </si>
  <si>
    <t>$E$3&lt;=$F$3</t>
  </si>
  <si>
    <t>$E$4</t>
  </si>
  <si>
    <t>Патока Использовано</t>
  </si>
  <si>
    <t>$E$4&lt;=$F$4</t>
  </si>
  <si>
    <t>$E$5</t>
  </si>
  <si>
    <t>Фруктовое пюре Использовано</t>
  </si>
  <si>
    <t>$E$5&lt;=$F$5</t>
  </si>
  <si>
    <t>$B$2:$D$2</t>
  </si>
  <si>
    <t>$E$3:$E$5 &lt;= $F$3:$F$5</t>
  </si>
  <si>
    <t>$B$2:$D$2 &gt;= 0</t>
  </si>
  <si>
    <t>Отчет создан: 4/5/26 9:37:28 AM</t>
  </si>
  <si>
    <t>Товар A</t>
  </si>
  <si>
    <t>Товар B</t>
  </si>
  <si>
    <t>Товар C</t>
  </si>
  <si>
    <t>Товар D</t>
  </si>
  <si>
    <t>Общее количество</t>
  </si>
  <si>
    <t>План продаж (шт)</t>
  </si>
  <si>
    <t>Рабочее время</t>
  </si>
  <si>
    <t>Площадь зала</t>
  </si>
  <si>
    <t>Лист: [Книга1.xlsx]5</t>
  </si>
  <si>
    <t>Отчет создан: 4/5/26 9:44:23 AM</t>
  </si>
  <si>
    <t>Время решения: 188.638 секунд.</t>
  </si>
  <si>
    <t>Максимальное время Без пределов,  Число итераций Без пределов, Precision 1E-06</t>
  </si>
  <si>
    <t>Максимальное число подзадач Без пределов, Максимальное число целочисленных решений Без пределов, Целочисленное отклонение 1%, Решение без целочисленных ограничений, Считать неотрицательными</t>
  </si>
  <si>
    <t>$F$5</t>
  </si>
  <si>
    <t>План продаж (шт) Товар A</t>
  </si>
  <si>
    <t>План продаж (шт) Товар B</t>
  </si>
  <si>
    <t>План продаж (шт) Товар C</t>
  </si>
  <si>
    <t>План продаж (шт) Товар D</t>
  </si>
  <si>
    <t>$F$3</t>
  </si>
  <si>
    <t>Рабочее время Использовано</t>
  </si>
  <si>
    <t>$F$3&lt;=$G$3</t>
  </si>
  <si>
    <t>$F$4</t>
  </si>
  <si>
    <t>Площадь зала Использовано</t>
  </si>
  <si>
    <t>$F$4&lt;=$G$4</t>
  </si>
  <si>
    <t>$B$2:$E$2</t>
  </si>
  <si>
    <t>$B$2:$E$2 &gt;= 0</t>
  </si>
  <si>
    <t>Вещество</t>
  </si>
  <si>
    <t>Сырье 1</t>
  </si>
  <si>
    <t>Сырье 2</t>
  </si>
  <si>
    <t>Сырье 3</t>
  </si>
  <si>
    <t>Сырье 4</t>
  </si>
  <si>
    <t>Итого в смеси</t>
  </si>
  <si>
    <t>План (не менее)</t>
  </si>
  <si>
    <t>Кол-во сырья (кг)</t>
  </si>
  <si>
    <t>Вещество A</t>
  </si>
  <si>
    <t>Вещество B</t>
  </si>
  <si>
    <t>Вещество C</t>
  </si>
  <si>
    <t>Лист: [2_Lab_Tables.xlsx]6</t>
  </si>
  <si>
    <t>Отчет создан: 4/5/26 1:57:08 PM</t>
  </si>
  <si>
    <t>Время решения: 196.985 секунд.</t>
  </si>
  <si>
    <t>Число итераций: 3 Число подзадач: 0</t>
  </si>
  <si>
    <t>Максимальное время Без пределов,  Число итераций Без пределов, Precision 1E-06, Использовать автоматическое масштабирование</t>
  </si>
  <si>
    <t>$F$6</t>
  </si>
  <si>
    <t>Цена (руб.) Итого в смеси</t>
  </si>
  <si>
    <t>Кол-во сырья (кг) Сырье 1</t>
  </si>
  <si>
    <t>Кол-во сырья (кг) Сырье 2</t>
  </si>
  <si>
    <t>Кол-во сырья (кг) Сырье 3</t>
  </si>
  <si>
    <t>Кол-во сырья (кг) Сырье 4</t>
  </si>
  <si>
    <t>Вещество A Итого в смеси</t>
  </si>
  <si>
    <t>Вещество B Итого в смеси</t>
  </si>
  <si>
    <t>Вещество C Итого в смеси</t>
  </si>
  <si>
    <t>$F$5&lt;=$G$5</t>
  </si>
  <si>
    <t>$F$3:$F$5 &lt;= $G$3:$G$5</t>
  </si>
  <si>
    <t>Изделие 1</t>
  </si>
  <si>
    <t>Изделие 2</t>
  </si>
  <si>
    <t>Изделие 3</t>
  </si>
  <si>
    <t>Итого</t>
  </si>
  <si>
    <t>Лимит / План</t>
  </si>
  <si>
    <t>Оборудование 1 типа</t>
  </si>
  <si>
    <t>Оборудование 2 типа</t>
  </si>
  <si>
    <t>Сырье 1 вида</t>
  </si>
  <si>
    <t>Сырье 2 вида</t>
  </si>
  <si>
    <t>Общая стоимость (руб.)</t>
  </si>
  <si>
    <t>Лист: [2_Lab_Tables.xlsx]7</t>
  </si>
  <si>
    <t>Отчет создан: 4/5/26 2:06:29 PM</t>
  </si>
  <si>
    <t>Время решения: 242.944 секунд.</t>
  </si>
  <si>
    <t>$E$7</t>
  </si>
  <si>
    <t>Общая стоимость (руб.) Итого</t>
  </si>
  <si>
    <t>План производства (шт) Изделие 1</t>
  </si>
  <si>
    <t>План производства (шт) Изделие 2</t>
  </si>
  <si>
    <t>План производства (шт) Изделие 3</t>
  </si>
  <si>
    <t>Оборудование 1 типа Итого</t>
  </si>
  <si>
    <t>Оборудование 2 типа Итого</t>
  </si>
  <si>
    <t>Сырье 1 вида Итого</t>
  </si>
  <si>
    <t>Сырье 2 вида Итого</t>
  </si>
  <si>
    <t>$E$6&lt;=$F$6</t>
  </si>
  <si>
    <t>$B$2&lt;=20</t>
  </si>
  <si>
    <t>$B$2&gt;=10</t>
  </si>
  <si>
    <t>$C$2&lt;=40</t>
  </si>
  <si>
    <t>$C$2&gt;=20</t>
  </si>
  <si>
    <t>$D$2&lt;=100</t>
  </si>
  <si>
    <t>$D$2&gt;=25</t>
  </si>
  <si>
    <t>$E$3:$E$6 &lt;= $F$3:$F$6</t>
  </si>
  <si>
    <t>Отчет создан: 4/5/26 2:06:30 PM</t>
  </si>
  <si>
    <t>Ресурс</t>
  </si>
  <si>
    <t>«Италия»</t>
  </si>
  <si>
    <t>«Австрия»</t>
  </si>
  <si>
    <t>«Скандинавия»</t>
  </si>
  <si>
    <t>Кол-во альбомов (шт)</t>
  </si>
  <si>
    <t>Финансы (руб.)</t>
  </si>
  <si>
    <t>Бумага (лист.)</t>
  </si>
  <si>
    <t>Трудозатраты (чел.-час.)</t>
  </si>
  <si>
    <t>Лист: [2_Lab_Tables.xlsx]8</t>
  </si>
  <si>
    <t>Отчет создан: 4/5/26 2:20:59 PM</t>
  </si>
  <si>
    <t>Время решения: 190.967 секунд.</t>
  </si>
  <si>
    <t>Прибыль (руб.) Итого</t>
  </si>
  <si>
    <t>Кол-во альбомов (шт) «Италия»</t>
  </si>
  <si>
    <t>Кол-во альбомов (шт) «Австрия»</t>
  </si>
  <si>
    <t>Кол-во альбомов (шт) «Скандинавия»</t>
  </si>
  <si>
    <t>Финансы (руб.) Итого</t>
  </si>
  <si>
    <t>Бумага (лист.) Итого</t>
  </si>
  <si>
    <t>Трудозатраты (чел.-час.) Итого</t>
  </si>
  <si>
    <t>Лимитирующие ресурсы</t>
  </si>
  <si>
    <t>Группа 1</t>
  </si>
  <si>
    <t>Группа 2</t>
  </si>
  <si>
    <t>Группа 3</t>
  </si>
  <si>
    <t>Группа 4</t>
  </si>
  <si>
    <t>Объем ресурса</t>
  </si>
  <si>
    <t>План товарооборота (шт)</t>
  </si>
  <si>
    <t>Складские площади ($м^2$)</t>
  </si>
  <si>
    <t>Трудовые ресурсы (чел.-час.)</t>
  </si>
  <si>
    <t>Издержки обращения (руб.)</t>
  </si>
  <si>
    <t>Товарные запасы (руб.)</t>
  </si>
  <si>
    <t>План товарооборота (руб.)</t>
  </si>
  <si>
    <t>Лист: [2_Lab_Tables.xlsx]9</t>
  </si>
  <si>
    <t>Отчет создан: 4/5/26 2:27:35 PM</t>
  </si>
  <si>
    <t>Время решения: 260.154 секунд.</t>
  </si>
  <si>
    <t>$F$8</t>
  </si>
  <si>
    <t>План товарооборота (шт) Группа 1</t>
  </si>
  <si>
    <t>План товарооборота (шт) Группа 2</t>
  </si>
  <si>
    <t>План товарооборота (шт) Группа 3</t>
  </si>
  <si>
    <t>План товарооборота (шт) Группа 4</t>
  </si>
  <si>
    <t>Складские площади ($м^2$) Использовано</t>
  </si>
  <si>
    <t>Трудовые ресурсы (чел.-час.) Использовано</t>
  </si>
  <si>
    <t>Издержки обращения (руб.) Использовано</t>
  </si>
  <si>
    <t>Товарные запасы (руб.) Использовано</t>
  </si>
  <si>
    <t>$F$6&lt;=$G$6</t>
  </si>
  <si>
    <t>$F$7</t>
  </si>
  <si>
    <t>План товарооборота (руб.) Использовано</t>
  </si>
  <si>
    <t>$F$7&lt;=$G$7</t>
  </si>
  <si>
    <t>$B$2&gt;=1200</t>
  </si>
  <si>
    <t>$C$2&gt;=1000</t>
  </si>
  <si>
    <t>$D$2&gt;=1500</t>
  </si>
  <si>
    <t>$E$2&gt;=1200</t>
  </si>
  <si>
    <t>$F$3:$F$6 &lt;= $G$3:$G$6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</si>
</sst>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2"/>
      <color theme="1"/>
      <name val="Arial"/>
      <family val="2"/>
    </font>
    <font>
      <sz val="16"/>
      <color theme="1"/>
      <name val="Arial"/>
      <family val="2"/>
      <charset val="204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  <font>
      <b/>
      <sz val="12"/>
      <name val="Aptos Narrow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4" xfId="0" applyBorder="1"/>
    <xf numFmtId="0" fontId="5" fillId="0" borderId="3" xfId="0" applyFont="1" applyBorder="1" applyAlignment="1">
      <alignment horizontal="center"/>
    </xf>
    <xf numFmtId="0" fontId="0" fillId="0" borderId="5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6" fillId="0" borderId="5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0" fillId="0" borderId="0" xfId="0" applyNumberFormat="1" applyFill="1" applyBorder="1" applyAlignment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A39D-E922-9644-90A7-122283B3FEE8}">
  <dimension ref="A1:F7"/>
  <sheetViews>
    <sheetView workbookViewId="0">
      <selection activeCell="E6" sqref="E6"/>
    </sheetView>
  </sheetViews>
  <sheetFormatPr baseColWidth="10" defaultRowHeight="16" x14ac:dyDescent="0.2"/>
  <cols>
    <col min="1" max="1" width="32.1640625" bestFit="1" customWidth="1"/>
    <col min="2" max="2" width="13" bestFit="1" customWidth="1"/>
    <col min="3" max="3" width="14.1640625" bestFit="1" customWidth="1"/>
    <col min="4" max="4" width="19.33203125" bestFit="1" customWidth="1"/>
    <col min="5" max="5" width="15.6640625" bestFit="1" customWidth="1"/>
  </cols>
  <sheetData>
    <row r="1" spans="1:6" ht="20" x14ac:dyDescent="0.2">
      <c r="A1" s="13" t="s">
        <v>0</v>
      </c>
      <c r="B1" s="14" t="s">
        <v>8</v>
      </c>
      <c r="C1" s="14" t="s">
        <v>9</v>
      </c>
      <c r="D1" s="14" t="s">
        <v>1</v>
      </c>
      <c r="E1" s="14" t="s">
        <v>2</v>
      </c>
      <c r="F1" s="1"/>
    </row>
    <row r="2" spans="1:6" ht="20" x14ac:dyDescent="0.2">
      <c r="A2" s="13" t="s">
        <v>3</v>
      </c>
      <c r="B2" s="14">
        <v>0</v>
      </c>
      <c r="C2" s="14">
        <v>199.99999999999997</v>
      </c>
      <c r="D2" s="14"/>
      <c r="E2" s="14"/>
      <c r="F2" s="1"/>
    </row>
    <row r="3" spans="1:6" ht="20" x14ac:dyDescent="0.2">
      <c r="A3" s="13" t="s">
        <v>4</v>
      </c>
      <c r="B3" s="14">
        <v>0.2</v>
      </c>
      <c r="C3" s="14">
        <v>0.1</v>
      </c>
      <c r="D3" s="14">
        <f>SUMPRODUCT(B2:C2,B3:C3)</f>
        <v>20</v>
      </c>
      <c r="E3" s="14">
        <v>40</v>
      </c>
      <c r="F3" s="1"/>
    </row>
    <row r="4" spans="1:6" ht="20" x14ac:dyDescent="0.2">
      <c r="A4" s="13" t="s">
        <v>5</v>
      </c>
      <c r="B4" s="14">
        <v>0.1</v>
      </c>
      <c r="C4" s="14">
        <v>0.3</v>
      </c>
      <c r="D4" s="14">
        <f>SUMPRODUCT(B2:C2,B4:C4)</f>
        <v>59.999999999999986</v>
      </c>
      <c r="E4" s="14">
        <v>60</v>
      </c>
      <c r="F4" s="1"/>
    </row>
    <row r="5" spans="1:6" ht="20" x14ac:dyDescent="0.2">
      <c r="A5" s="13" t="s">
        <v>6</v>
      </c>
      <c r="B5" s="14">
        <v>1.2</v>
      </c>
      <c r="C5" s="14">
        <v>1.5</v>
      </c>
      <c r="D5" s="14">
        <f>SUMPRODUCT(B2:C2,B5:C5)</f>
        <v>299.99999999999994</v>
      </c>
      <c r="E5" s="14">
        <v>371.4</v>
      </c>
      <c r="F5" s="1"/>
    </row>
    <row r="6" spans="1:6" ht="20" x14ac:dyDescent="0.2">
      <c r="A6" s="13" t="s">
        <v>7</v>
      </c>
      <c r="B6" s="14">
        <v>2000</v>
      </c>
      <c r="C6" s="14">
        <v>8000</v>
      </c>
      <c r="D6" s="14">
        <f>SUMPRODUCT(B2:C2,B6:C6)</f>
        <v>1599999.9999999998</v>
      </c>
      <c r="E6" s="14"/>
      <c r="F6" s="1"/>
    </row>
    <row r="7" spans="1:6" ht="20" x14ac:dyDescent="0.2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B530-00F9-D84D-8351-A2E0D3F7B5C1}">
  <dimension ref="A1:H19"/>
  <sheetViews>
    <sheetView showGridLines="0" workbookViewId="0">
      <selection sqref="A1:A3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1.33203125" bestFit="1" customWidth="1"/>
    <col min="4" max="4" width="14.5" bestFit="1" customWidth="1"/>
    <col min="5" max="5" width="12.83203125" bestFit="1" customWidth="1"/>
    <col min="6" max="6" width="16.5" bestFit="1" customWidth="1"/>
    <col min="7" max="7" width="12.1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12</v>
      </c>
    </row>
    <row r="3" spans="1:8" x14ac:dyDescent="0.2">
      <c r="A3" s="5" t="s">
        <v>13</v>
      </c>
    </row>
    <row r="6" spans="1:8" ht="17" thickBot="1" x14ac:dyDescent="0.25">
      <c r="A6" t="s">
        <v>27</v>
      </c>
    </row>
    <row r="7" spans="1:8" x14ac:dyDescent="0.2">
      <c r="B7" s="11"/>
      <c r="C7" s="11"/>
      <c r="D7" s="11" t="s">
        <v>56</v>
      </c>
      <c r="E7" s="11" t="s">
        <v>58</v>
      </c>
      <c r="F7" s="11" t="s">
        <v>60</v>
      </c>
      <c r="G7" s="11" t="s">
        <v>62</v>
      </c>
      <c r="H7" s="11" t="s">
        <v>62</v>
      </c>
    </row>
    <row r="8" spans="1:8" ht="17" thickBot="1" x14ac:dyDescent="0.25">
      <c r="B8" s="12" t="s">
        <v>23</v>
      </c>
      <c r="C8" s="12" t="s">
        <v>24</v>
      </c>
      <c r="D8" s="12" t="s">
        <v>57</v>
      </c>
      <c r="E8" s="12" t="s">
        <v>59</v>
      </c>
      <c r="F8" s="12" t="s">
        <v>61</v>
      </c>
      <c r="G8" s="12" t="s">
        <v>63</v>
      </c>
      <c r="H8" s="12" t="s">
        <v>64</v>
      </c>
    </row>
    <row r="9" spans="1:8" x14ac:dyDescent="0.2">
      <c r="B9" s="8" t="s">
        <v>36</v>
      </c>
      <c r="C9" s="8" t="s">
        <v>37</v>
      </c>
      <c r="D9" s="8">
        <v>0</v>
      </c>
      <c r="E9" s="8">
        <v>-666.66666666666652</v>
      </c>
      <c r="F9" s="8">
        <v>2000</v>
      </c>
      <c r="G9" s="8">
        <v>666.66666666666652</v>
      </c>
      <c r="H9" s="8">
        <v>1E+30</v>
      </c>
    </row>
    <row r="10" spans="1:8" ht="17" thickBot="1" x14ac:dyDescent="0.25">
      <c r="B10" s="6" t="s">
        <v>39</v>
      </c>
      <c r="C10" s="6" t="s">
        <v>40</v>
      </c>
      <c r="D10" s="6">
        <v>199.99999999999997</v>
      </c>
      <c r="E10" s="6">
        <v>0</v>
      </c>
      <c r="F10" s="6">
        <v>8000</v>
      </c>
      <c r="G10" s="6">
        <v>1E+30</v>
      </c>
      <c r="H10" s="6">
        <v>1999.9999999999995</v>
      </c>
    </row>
    <row r="12" spans="1:8" ht="17" thickBot="1" x14ac:dyDescent="0.25">
      <c r="A12" t="s">
        <v>29</v>
      </c>
    </row>
    <row r="13" spans="1:8" x14ac:dyDescent="0.2">
      <c r="B13" s="11"/>
      <c r="C13" s="11"/>
      <c r="D13" s="11" t="s">
        <v>56</v>
      </c>
      <c r="E13" s="11" t="s">
        <v>65</v>
      </c>
      <c r="F13" s="11" t="s">
        <v>67</v>
      </c>
      <c r="G13" s="11" t="s">
        <v>62</v>
      </c>
      <c r="H13" s="11" t="s">
        <v>62</v>
      </c>
    </row>
    <row r="14" spans="1:8" ht="17" thickBot="1" x14ac:dyDescent="0.25">
      <c r="B14" s="12" t="s">
        <v>23</v>
      </c>
      <c r="C14" s="12" t="s">
        <v>24</v>
      </c>
      <c r="D14" s="12" t="s">
        <v>57</v>
      </c>
      <c r="E14" s="12" t="s">
        <v>66</v>
      </c>
      <c r="F14" s="12" t="s">
        <v>68</v>
      </c>
      <c r="G14" s="12" t="s">
        <v>63</v>
      </c>
      <c r="H14" s="12" t="s">
        <v>64</v>
      </c>
    </row>
    <row r="15" spans="1:8" x14ac:dyDescent="0.2">
      <c r="B15" s="10" t="s">
        <v>54</v>
      </c>
      <c r="C15" s="9"/>
      <c r="D15" s="9"/>
      <c r="E15" s="9"/>
      <c r="F15" s="9"/>
      <c r="G15" s="9"/>
      <c r="H15" s="9"/>
    </row>
    <row r="16" spans="1:8" hidden="1" outlineLevel="1" x14ac:dyDescent="0.2">
      <c r="B16" s="8" t="s">
        <v>41</v>
      </c>
      <c r="C16" s="8" t="s">
        <v>42</v>
      </c>
      <c r="D16" s="8">
        <v>20</v>
      </c>
      <c r="E16" s="8">
        <v>0</v>
      </c>
      <c r="F16" s="8">
        <v>40</v>
      </c>
      <c r="G16" s="8">
        <v>1E+30</v>
      </c>
      <c r="H16" s="8">
        <v>19.999999999999996</v>
      </c>
    </row>
    <row r="17" spans="2:8" hidden="1" outlineLevel="1" x14ac:dyDescent="0.2">
      <c r="B17" s="8" t="s">
        <v>45</v>
      </c>
      <c r="C17" s="8" t="s">
        <v>46</v>
      </c>
      <c r="D17" s="8">
        <v>59.999999999999986</v>
      </c>
      <c r="E17" s="8">
        <v>26666.666666666664</v>
      </c>
      <c r="F17" s="8">
        <v>60</v>
      </c>
      <c r="G17" s="8">
        <v>14.279999999999996</v>
      </c>
      <c r="H17" s="8">
        <v>60</v>
      </c>
    </row>
    <row r="18" spans="2:8" ht="17" hidden="1" outlineLevel="1" thickBot="1" x14ac:dyDescent="0.25">
      <c r="B18" s="6" t="s">
        <v>49</v>
      </c>
      <c r="C18" s="6" t="s">
        <v>50</v>
      </c>
      <c r="D18" s="6">
        <v>299.99999999999994</v>
      </c>
      <c r="E18" s="6">
        <v>0</v>
      </c>
      <c r="F18" s="6">
        <v>371.4</v>
      </c>
      <c r="G18" s="6">
        <v>1E+30</v>
      </c>
      <c r="H18" s="6">
        <v>71.399999999999977</v>
      </c>
    </row>
    <row r="19" spans="2:8" collapsed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E83A4-B7F3-9440-9E7E-C7A8A77FECFC}">
  <dimension ref="A1:G33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1.332031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7.5" bestFit="1" customWidth="1"/>
  </cols>
  <sheetData>
    <row r="1" spans="1:5" x14ac:dyDescent="0.2">
      <c r="A1" s="5" t="s">
        <v>11</v>
      </c>
    </row>
    <row r="2" spans="1:5" x14ac:dyDescent="0.2">
      <c r="A2" s="5" t="s">
        <v>12</v>
      </c>
    </row>
    <row r="3" spans="1:5" x14ac:dyDescent="0.2">
      <c r="A3" s="5" t="s">
        <v>13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17</v>
      </c>
    </row>
    <row r="8" spans="1:5" hidden="1" outlineLevel="1" x14ac:dyDescent="0.2">
      <c r="A8" s="5"/>
      <c r="B8" t="s">
        <v>18</v>
      </c>
    </row>
    <row r="9" spans="1:5" collapsed="1" x14ac:dyDescent="0.2">
      <c r="A9" s="5" t="s">
        <v>19</v>
      </c>
    </row>
    <row r="10" spans="1:5" hidden="1" outlineLevel="1" x14ac:dyDescent="0.2">
      <c r="B10" t="s">
        <v>20</v>
      </c>
    </row>
    <row r="11" spans="1:5" hidden="1" outlineLevel="1" x14ac:dyDescent="0.2">
      <c r="B11" t="s">
        <v>21</v>
      </c>
    </row>
    <row r="12" spans="1:5" collapsed="1" x14ac:dyDescent="0.2"/>
    <row r="14" spans="1:5" ht="17" thickBot="1" x14ac:dyDescent="0.25">
      <c r="A14" t="s">
        <v>22</v>
      </c>
    </row>
    <row r="15" spans="1:5" ht="17" thickBot="1" x14ac:dyDescent="0.25">
      <c r="B15" s="7" t="s">
        <v>23</v>
      </c>
      <c r="C15" s="7" t="s">
        <v>24</v>
      </c>
      <c r="D15" s="7" t="s">
        <v>25</v>
      </c>
      <c r="E15" s="7" t="s">
        <v>26</v>
      </c>
    </row>
    <row r="16" spans="1:5" ht="17" thickBot="1" x14ac:dyDescent="0.25">
      <c r="B16" s="6" t="s">
        <v>34</v>
      </c>
      <c r="C16" s="6" t="s">
        <v>35</v>
      </c>
      <c r="D16" s="6">
        <v>0</v>
      </c>
      <c r="E16" s="6">
        <v>1599999.9999999998</v>
      </c>
    </row>
    <row r="19" spans="1:7" ht="17" thickBot="1" x14ac:dyDescent="0.25">
      <c r="A19" t="s">
        <v>27</v>
      </c>
    </row>
    <row r="20" spans="1:7" ht="17" thickBot="1" x14ac:dyDescent="0.25">
      <c r="B20" s="7" t="s">
        <v>23</v>
      </c>
      <c r="C20" s="7" t="s">
        <v>24</v>
      </c>
      <c r="D20" s="7" t="s">
        <v>25</v>
      </c>
      <c r="E20" s="7" t="s">
        <v>26</v>
      </c>
      <c r="F20" s="7" t="s">
        <v>28</v>
      </c>
    </row>
    <row r="21" spans="1:7" x14ac:dyDescent="0.2">
      <c r="B21" s="8" t="s">
        <v>36</v>
      </c>
      <c r="C21" s="8" t="s">
        <v>37</v>
      </c>
      <c r="D21" s="8">
        <v>0</v>
      </c>
      <c r="E21" s="8">
        <v>0</v>
      </c>
      <c r="F21" s="8" t="s">
        <v>38</v>
      </c>
    </row>
    <row r="22" spans="1:7" ht="17" thickBot="1" x14ac:dyDescent="0.25">
      <c r="B22" s="6" t="s">
        <v>39</v>
      </c>
      <c r="C22" s="6" t="s">
        <v>40</v>
      </c>
      <c r="D22" s="6">
        <v>0</v>
      </c>
      <c r="E22" s="6">
        <v>199.99999999999997</v>
      </c>
      <c r="F22" s="6" t="s">
        <v>38</v>
      </c>
    </row>
    <row r="25" spans="1:7" ht="17" thickBot="1" x14ac:dyDescent="0.25">
      <c r="A25" t="s">
        <v>29</v>
      </c>
    </row>
    <row r="26" spans="1:7" ht="17" thickBot="1" x14ac:dyDescent="0.25">
      <c r="B26" s="7" t="s">
        <v>23</v>
      </c>
      <c r="C26" s="7" t="s">
        <v>24</v>
      </c>
      <c r="D26" s="7" t="s">
        <v>30</v>
      </c>
      <c r="E26" s="7" t="s">
        <v>31</v>
      </c>
      <c r="F26" s="7" t="s">
        <v>32</v>
      </c>
      <c r="G26" s="7" t="s">
        <v>33</v>
      </c>
    </row>
    <row r="27" spans="1:7" x14ac:dyDescent="0.2">
      <c r="B27" s="10" t="s">
        <v>54</v>
      </c>
      <c r="C27" s="9"/>
      <c r="D27" s="9"/>
      <c r="E27" s="9"/>
      <c r="F27" s="9"/>
      <c r="G27" s="9"/>
    </row>
    <row r="28" spans="1:7" hidden="1" outlineLevel="1" x14ac:dyDescent="0.2">
      <c r="B28" s="8" t="s">
        <v>41</v>
      </c>
      <c r="C28" s="8" t="s">
        <v>42</v>
      </c>
      <c r="D28" s="8">
        <v>20</v>
      </c>
      <c r="E28" s="8" t="s">
        <v>43</v>
      </c>
      <c r="F28" s="8" t="s">
        <v>44</v>
      </c>
      <c r="G28" s="8">
        <v>20</v>
      </c>
    </row>
    <row r="29" spans="1:7" hidden="1" outlineLevel="1" x14ac:dyDescent="0.2">
      <c r="B29" s="8" t="s">
        <v>45</v>
      </c>
      <c r="C29" s="8" t="s">
        <v>46</v>
      </c>
      <c r="D29" s="8">
        <v>59.999999999999986</v>
      </c>
      <c r="E29" s="8" t="s">
        <v>47</v>
      </c>
      <c r="F29" s="8" t="s">
        <v>48</v>
      </c>
      <c r="G29" s="8">
        <v>0</v>
      </c>
    </row>
    <row r="30" spans="1:7" hidden="1" outlineLevel="1" x14ac:dyDescent="0.2">
      <c r="B30" s="8" t="s">
        <v>49</v>
      </c>
      <c r="C30" s="8" t="s">
        <v>50</v>
      </c>
      <c r="D30" s="8">
        <v>299.99999999999994</v>
      </c>
      <c r="E30" s="8" t="s">
        <v>51</v>
      </c>
      <c r="F30" s="8" t="s">
        <v>44</v>
      </c>
      <c r="G30" s="8">
        <v>71.400000000000034</v>
      </c>
    </row>
    <row r="31" spans="1:7" collapsed="1" x14ac:dyDescent="0.2">
      <c r="B31" s="8"/>
      <c r="C31" s="8"/>
      <c r="D31" s="8"/>
      <c r="E31" s="8"/>
      <c r="F31" s="8"/>
      <c r="G31" s="8"/>
    </row>
    <row r="32" spans="1:7" x14ac:dyDescent="0.2">
      <c r="B32" s="8" t="s">
        <v>36</v>
      </c>
      <c r="C32" s="8" t="s">
        <v>37</v>
      </c>
      <c r="D32" s="8">
        <v>0</v>
      </c>
      <c r="E32" s="8" t="s">
        <v>52</v>
      </c>
      <c r="F32" s="8" t="s">
        <v>48</v>
      </c>
      <c r="G32" s="8">
        <v>0</v>
      </c>
    </row>
    <row r="33" spans="2:7" ht="17" thickBot="1" x14ac:dyDescent="0.25">
      <c r="B33" s="6" t="s">
        <v>39</v>
      </c>
      <c r="C33" s="6" t="s">
        <v>40</v>
      </c>
      <c r="D33" s="6">
        <v>199.99999999999997</v>
      </c>
      <c r="E33" s="6" t="s">
        <v>53</v>
      </c>
      <c r="F33" s="6" t="s">
        <v>44</v>
      </c>
      <c r="G33" s="6">
        <v>199.99999999999997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0DFC-A3FF-5F48-9D1E-60C3D38777EA}">
  <dimension ref="A1:E6"/>
  <sheetViews>
    <sheetView workbookViewId="0">
      <selection activeCell="D25" sqref="D25"/>
    </sheetView>
  </sheetViews>
  <sheetFormatPr baseColWidth="10" defaultRowHeight="16" x14ac:dyDescent="0.2"/>
  <cols>
    <col min="1" max="1" width="25" bestFit="1" customWidth="1"/>
    <col min="2" max="3" width="20.1640625" bestFit="1" customWidth="1"/>
    <col min="4" max="4" width="19.33203125" bestFit="1" customWidth="1"/>
    <col min="5" max="5" width="18.33203125" bestFit="1" customWidth="1"/>
  </cols>
  <sheetData>
    <row r="1" spans="1:5" ht="20" x14ac:dyDescent="0.2">
      <c r="A1" s="15" t="s">
        <v>69</v>
      </c>
      <c r="B1" s="14" t="s">
        <v>70</v>
      </c>
      <c r="C1" s="14" t="s">
        <v>71</v>
      </c>
      <c r="D1" s="14" t="s">
        <v>1</v>
      </c>
      <c r="E1" s="14" t="s">
        <v>72</v>
      </c>
    </row>
    <row r="2" spans="1:5" ht="20" x14ac:dyDescent="0.2">
      <c r="A2" s="15" t="s">
        <v>73</v>
      </c>
      <c r="B2" s="14">
        <v>12</v>
      </c>
      <c r="C2" s="14">
        <v>6</v>
      </c>
      <c r="D2" s="14"/>
      <c r="E2" s="14"/>
    </row>
    <row r="3" spans="1:5" ht="20" x14ac:dyDescent="0.2">
      <c r="A3" s="15" t="s">
        <v>74</v>
      </c>
      <c r="B3" s="14">
        <v>10</v>
      </c>
      <c r="C3" s="14">
        <v>8</v>
      </c>
      <c r="D3" s="14">
        <f>SUMPRODUCT(B2:C2,B3:C3)</f>
        <v>168</v>
      </c>
      <c r="E3" s="14">
        <v>168</v>
      </c>
    </row>
    <row r="4" spans="1:5" ht="20" x14ac:dyDescent="0.2">
      <c r="A4" s="15" t="s">
        <v>75</v>
      </c>
      <c r="B4" s="14">
        <v>5</v>
      </c>
      <c r="C4" s="14">
        <v>10</v>
      </c>
      <c r="D4" s="14">
        <f>SUMPRODUCT(B2:C2,B4:C4)</f>
        <v>120</v>
      </c>
      <c r="E4" s="14">
        <v>180</v>
      </c>
    </row>
    <row r="5" spans="1:5" ht="20" x14ac:dyDescent="0.2">
      <c r="A5" s="15" t="s">
        <v>76</v>
      </c>
      <c r="B5" s="14">
        <v>6</v>
      </c>
      <c r="C5" s="14">
        <v>12</v>
      </c>
      <c r="D5" s="14">
        <f>SUMPRODUCT(B2:C2,B5:C5)</f>
        <v>144</v>
      </c>
      <c r="E5" s="14">
        <v>144</v>
      </c>
    </row>
    <row r="6" spans="1:5" ht="20" x14ac:dyDescent="0.2">
      <c r="A6" s="15" t="s">
        <v>7</v>
      </c>
      <c r="B6" s="14">
        <v>14</v>
      </c>
      <c r="C6" s="14">
        <v>18</v>
      </c>
      <c r="D6" s="14">
        <f>SUMPRODUCT(B2:C2,B6:C6)</f>
        <v>276</v>
      </c>
      <c r="E6" s="14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F955-25F5-C244-8D53-6F436E12D571}">
  <dimension ref="A1:G31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0.332031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7.5" bestFit="1" customWidth="1"/>
  </cols>
  <sheetData>
    <row r="1" spans="1:5" x14ac:dyDescent="0.2">
      <c r="A1" s="5" t="s">
        <v>11</v>
      </c>
    </row>
    <row r="2" spans="1:5" x14ac:dyDescent="0.2">
      <c r="A2" s="5" t="s">
        <v>77</v>
      </c>
    </row>
    <row r="3" spans="1:5" x14ac:dyDescent="0.2">
      <c r="A3" s="5" t="s">
        <v>78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79</v>
      </c>
    </row>
    <row r="8" spans="1:5" hidden="1" outlineLevel="1" x14ac:dyDescent="0.2">
      <c r="A8" s="5"/>
      <c r="B8" t="s">
        <v>80</v>
      </c>
    </row>
    <row r="9" spans="1:5" collapsed="1" x14ac:dyDescent="0.2">
      <c r="A9" s="5" t="s">
        <v>19</v>
      </c>
    </row>
    <row r="10" spans="1:5" hidden="1" outlineLevel="1" x14ac:dyDescent="0.2">
      <c r="B10" t="s">
        <v>20</v>
      </c>
    </row>
    <row r="11" spans="1:5" hidden="1" outlineLevel="1" x14ac:dyDescent="0.2">
      <c r="B11" t="s">
        <v>21</v>
      </c>
    </row>
    <row r="12" spans="1:5" collapsed="1" x14ac:dyDescent="0.2"/>
    <row r="14" spans="1:5" ht="17" thickBot="1" x14ac:dyDescent="0.25">
      <c r="A14" t="s">
        <v>22</v>
      </c>
    </row>
    <row r="15" spans="1:5" ht="17" thickBot="1" x14ac:dyDescent="0.25">
      <c r="B15" s="7" t="s">
        <v>23</v>
      </c>
      <c r="C15" s="7" t="s">
        <v>24</v>
      </c>
      <c r="D15" s="7" t="s">
        <v>25</v>
      </c>
      <c r="E15" s="7" t="s">
        <v>26</v>
      </c>
    </row>
    <row r="16" spans="1:5" ht="17" thickBot="1" x14ac:dyDescent="0.25">
      <c r="B16" s="6" t="s">
        <v>34</v>
      </c>
      <c r="C16" s="6" t="s">
        <v>35</v>
      </c>
      <c r="D16" s="6">
        <v>0</v>
      </c>
      <c r="E16" s="6">
        <v>276</v>
      </c>
    </row>
    <row r="19" spans="1:7" ht="17" thickBot="1" x14ac:dyDescent="0.25">
      <c r="A19" t="s">
        <v>27</v>
      </c>
    </row>
    <row r="20" spans="1:7" ht="17" thickBot="1" x14ac:dyDescent="0.25">
      <c r="B20" s="7" t="s">
        <v>23</v>
      </c>
      <c r="C20" s="7" t="s">
        <v>24</v>
      </c>
      <c r="D20" s="7" t="s">
        <v>25</v>
      </c>
      <c r="E20" s="7" t="s">
        <v>26</v>
      </c>
      <c r="F20" s="7" t="s">
        <v>28</v>
      </c>
    </row>
    <row r="21" spans="1:7" x14ac:dyDescent="0.2">
      <c r="B21" s="8" t="s">
        <v>36</v>
      </c>
      <c r="C21" s="8" t="s">
        <v>81</v>
      </c>
      <c r="D21" s="8">
        <v>0</v>
      </c>
      <c r="E21" s="8">
        <v>12</v>
      </c>
      <c r="F21" s="8" t="s">
        <v>38</v>
      </c>
    </row>
    <row r="22" spans="1:7" ht="17" thickBot="1" x14ac:dyDescent="0.25">
      <c r="B22" s="6" t="s">
        <v>39</v>
      </c>
      <c r="C22" s="6" t="s">
        <v>82</v>
      </c>
      <c r="D22" s="6">
        <v>0</v>
      </c>
      <c r="E22" s="6">
        <v>6</v>
      </c>
      <c r="F22" s="6" t="s">
        <v>38</v>
      </c>
    </row>
    <row r="25" spans="1:7" ht="17" thickBot="1" x14ac:dyDescent="0.25">
      <c r="A25" t="s">
        <v>29</v>
      </c>
    </row>
    <row r="26" spans="1:7" ht="17" thickBot="1" x14ac:dyDescent="0.25">
      <c r="B26" s="7" t="s">
        <v>23</v>
      </c>
      <c r="C26" s="7" t="s">
        <v>24</v>
      </c>
      <c r="D26" s="7" t="s">
        <v>30</v>
      </c>
      <c r="E26" s="7" t="s">
        <v>31</v>
      </c>
      <c r="F26" s="7" t="s">
        <v>32</v>
      </c>
      <c r="G26" s="7" t="s">
        <v>33</v>
      </c>
    </row>
    <row r="27" spans="1:7" x14ac:dyDescent="0.2">
      <c r="B27" s="10" t="s">
        <v>54</v>
      </c>
      <c r="C27" s="9"/>
      <c r="D27" s="9"/>
      <c r="E27" s="9"/>
      <c r="F27" s="9"/>
      <c r="G27" s="9"/>
    </row>
    <row r="28" spans="1:7" hidden="1" outlineLevel="1" x14ac:dyDescent="0.2">
      <c r="B28" s="8" t="s">
        <v>41</v>
      </c>
      <c r="C28" s="8" t="s">
        <v>83</v>
      </c>
      <c r="D28" s="8">
        <v>168</v>
      </c>
      <c r="E28" s="8" t="s">
        <v>43</v>
      </c>
      <c r="F28" s="8" t="s">
        <v>48</v>
      </c>
      <c r="G28" s="8">
        <v>0</v>
      </c>
    </row>
    <row r="29" spans="1:7" hidden="1" outlineLevel="1" x14ac:dyDescent="0.2">
      <c r="B29" s="8" t="s">
        <v>45</v>
      </c>
      <c r="C29" s="8" t="s">
        <v>84</v>
      </c>
      <c r="D29" s="8">
        <v>120</v>
      </c>
      <c r="E29" s="8" t="s">
        <v>47</v>
      </c>
      <c r="F29" s="8" t="s">
        <v>44</v>
      </c>
      <c r="G29" s="8">
        <v>60</v>
      </c>
    </row>
    <row r="30" spans="1:7" ht="17" hidden="1" outlineLevel="1" thickBot="1" x14ac:dyDescent="0.25">
      <c r="B30" s="6" t="s">
        <v>49</v>
      </c>
      <c r="C30" s="6" t="s">
        <v>85</v>
      </c>
      <c r="D30" s="6">
        <v>144</v>
      </c>
      <c r="E30" s="6" t="s">
        <v>51</v>
      </c>
      <c r="F30" s="6" t="s">
        <v>48</v>
      </c>
      <c r="G30" s="6">
        <v>0</v>
      </c>
    </row>
    <row r="31" spans="1:7" collapsed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EDC7-5022-F94E-94C9-B1AA83CE3740}">
  <dimension ref="A1:H19"/>
  <sheetViews>
    <sheetView showGridLines="0" workbookViewId="0">
      <selection sqref="A1:A3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0.33203125" bestFit="1" customWidth="1"/>
    <col min="4" max="4" width="14.5" bestFit="1" customWidth="1"/>
    <col min="5" max="5" width="12.1640625" bestFit="1" customWidth="1"/>
    <col min="6" max="6" width="16.5" bestFit="1" customWidth="1"/>
    <col min="7" max="7" width="11.6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77</v>
      </c>
    </row>
    <row r="3" spans="1:8" x14ac:dyDescent="0.2">
      <c r="A3" s="5" t="s">
        <v>78</v>
      </c>
    </row>
    <row r="6" spans="1:8" ht="17" thickBot="1" x14ac:dyDescent="0.25">
      <c r="A6" t="s">
        <v>27</v>
      </c>
    </row>
    <row r="7" spans="1:8" x14ac:dyDescent="0.2">
      <c r="B7" s="11"/>
      <c r="C7" s="11"/>
      <c r="D7" s="11" t="s">
        <v>56</v>
      </c>
      <c r="E7" s="11" t="s">
        <v>58</v>
      </c>
      <c r="F7" s="11" t="s">
        <v>60</v>
      </c>
      <c r="G7" s="11" t="s">
        <v>62</v>
      </c>
      <c r="H7" s="11" t="s">
        <v>62</v>
      </c>
    </row>
    <row r="8" spans="1:8" ht="17" thickBot="1" x14ac:dyDescent="0.25">
      <c r="B8" s="12" t="s">
        <v>23</v>
      </c>
      <c r="C8" s="12" t="s">
        <v>24</v>
      </c>
      <c r="D8" s="12" t="s">
        <v>57</v>
      </c>
      <c r="E8" s="12" t="s">
        <v>59</v>
      </c>
      <c r="F8" s="12" t="s">
        <v>61</v>
      </c>
      <c r="G8" s="12" t="s">
        <v>63</v>
      </c>
      <c r="H8" s="12" t="s">
        <v>64</v>
      </c>
    </row>
    <row r="9" spans="1:8" x14ac:dyDescent="0.2">
      <c r="B9" s="8" t="s">
        <v>36</v>
      </c>
      <c r="C9" s="8" t="s">
        <v>81</v>
      </c>
      <c r="D9" s="8">
        <v>12</v>
      </c>
      <c r="E9" s="8">
        <v>0</v>
      </c>
      <c r="F9" s="8">
        <v>14</v>
      </c>
      <c r="G9" s="8">
        <v>8.5</v>
      </c>
      <c r="H9" s="8">
        <v>5</v>
      </c>
    </row>
    <row r="10" spans="1:8" ht="17" thickBot="1" x14ac:dyDescent="0.25">
      <c r="B10" s="6" t="s">
        <v>39</v>
      </c>
      <c r="C10" s="6" t="s">
        <v>82</v>
      </c>
      <c r="D10" s="6">
        <v>6</v>
      </c>
      <c r="E10" s="6">
        <v>0</v>
      </c>
      <c r="F10" s="6">
        <v>18</v>
      </c>
      <c r="G10" s="6">
        <v>10</v>
      </c>
      <c r="H10" s="6">
        <v>6.8</v>
      </c>
    </row>
    <row r="12" spans="1:8" ht="17" thickBot="1" x14ac:dyDescent="0.25">
      <c r="A12" t="s">
        <v>29</v>
      </c>
    </row>
    <row r="13" spans="1:8" x14ac:dyDescent="0.2">
      <c r="B13" s="11"/>
      <c r="C13" s="11"/>
      <c r="D13" s="11" t="s">
        <v>56</v>
      </c>
      <c r="E13" s="11" t="s">
        <v>65</v>
      </c>
      <c r="F13" s="11" t="s">
        <v>67</v>
      </c>
      <c r="G13" s="11" t="s">
        <v>62</v>
      </c>
      <c r="H13" s="11" t="s">
        <v>62</v>
      </c>
    </row>
    <row r="14" spans="1:8" ht="17" thickBot="1" x14ac:dyDescent="0.25">
      <c r="B14" s="12" t="s">
        <v>23</v>
      </c>
      <c r="C14" s="12" t="s">
        <v>24</v>
      </c>
      <c r="D14" s="12" t="s">
        <v>57</v>
      </c>
      <c r="E14" s="12" t="s">
        <v>66</v>
      </c>
      <c r="F14" s="12" t="s">
        <v>68</v>
      </c>
      <c r="G14" s="12" t="s">
        <v>63</v>
      </c>
      <c r="H14" s="12" t="s">
        <v>64</v>
      </c>
    </row>
    <row r="15" spans="1:8" x14ac:dyDescent="0.2">
      <c r="B15" s="10" t="s">
        <v>54</v>
      </c>
      <c r="C15" s="9"/>
      <c r="D15" s="9"/>
      <c r="E15" s="9"/>
      <c r="F15" s="9"/>
      <c r="G15" s="9"/>
      <c r="H15" s="9"/>
    </row>
    <row r="16" spans="1:8" hidden="1" outlineLevel="1" x14ac:dyDescent="0.2">
      <c r="B16" s="8" t="s">
        <v>41</v>
      </c>
      <c r="C16" s="8" t="s">
        <v>83</v>
      </c>
      <c r="D16" s="8">
        <v>168</v>
      </c>
      <c r="E16" s="8">
        <v>0.83333333333333326</v>
      </c>
      <c r="F16" s="8">
        <v>168</v>
      </c>
      <c r="G16" s="8">
        <v>72</v>
      </c>
      <c r="H16" s="8">
        <v>72</v>
      </c>
    </row>
    <row r="17" spans="2:8" hidden="1" outlineLevel="1" x14ac:dyDescent="0.2">
      <c r="B17" s="8" t="s">
        <v>45</v>
      </c>
      <c r="C17" s="8" t="s">
        <v>84</v>
      </c>
      <c r="D17" s="8">
        <v>120</v>
      </c>
      <c r="E17" s="8">
        <v>0</v>
      </c>
      <c r="F17" s="8">
        <v>180</v>
      </c>
      <c r="G17" s="8">
        <v>1E+30</v>
      </c>
      <c r="H17" s="8">
        <v>60</v>
      </c>
    </row>
    <row r="18" spans="2:8" ht="17" hidden="1" outlineLevel="1" thickBot="1" x14ac:dyDescent="0.25">
      <c r="B18" s="6" t="s">
        <v>49</v>
      </c>
      <c r="C18" s="6" t="s">
        <v>85</v>
      </c>
      <c r="D18" s="6">
        <v>144</v>
      </c>
      <c r="E18" s="6">
        <v>0.94444444444444442</v>
      </c>
      <c r="F18" s="6">
        <v>144</v>
      </c>
      <c r="G18" s="6">
        <v>72</v>
      </c>
      <c r="H18" s="6">
        <v>43.199999999999996</v>
      </c>
    </row>
    <row r="19" spans="2:8" collapsed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4358-B4BF-F644-85A7-75E914EA9644}">
  <dimension ref="A1:J7"/>
  <sheetViews>
    <sheetView workbookViewId="0">
      <selection activeCell="I13" sqref="I13"/>
    </sheetView>
  </sheetViews>
  <sheetFormatPr baseColWidth="10" defaultRowHeight="16" x14ac:dyDescent="0.2"/>
  <cols>
    <col min="1" max="1" width="33.5" bestFit="1" customWidth="1"/>
    <col min="2" max="2" width="8.33203125" bestFit="1" customWidth="1"/>
    <col min="3" max="3" width="8.6640625" bestFit="1" customWidth="1"/>
    <col min="4" max="4" width="11.6640625" bestFit="1" customWidth="1"/>
    <col min="5" max="5" width="10" bestFit="1" customWidth="1"/>
    <col min="6" max="6" width="7.33203125" bestFit="1" customWidth="1"/>
    <col min="7" max="7" width="9.33203125" bestFit="1" customWidth="1"/>
    <col min="8" max="8" width="16.33203125" bestFit="1" customWidth="1"/>
    <col min="9" max="9" width="21.33203125" bestFit="1" customWidth="1"/>
    <col min="10" max="10" width="24.83203125" bestFit="1" customWidth="1"/>
  </cols>
  <sheetData>
    <row r="1" spans="1:10" ht="20" x14ac:dyDescent="0.2">
      <c r="A1" s="13" t="s">
        <v>86</v>
      </c>
      <c r="B1" s="14" t="s">
        <v>87</v>
      </c>
      <c r="C1" s="14" t="s">
        <v>88</v>
      </c>
      <c r="D1" s="14" t="s">
        <v>89</v>
      </c>
      <c r="E1" s="14" t="s">
        <v>90</v>
      </c>
      <c r="F1" s="14" t="s">
        <v>91</v>
      </c>
      <c r="G1" s="14" t="s">
        <v>92</v>
      </c>
      <c r="H1" s="14" t="s">
        <v>93</v>
      </c>
      <c r="I1" s="14" t="s">
        <v>94</v>
      </c>
      <c r="J1" s="14" t="s">
        <v>95</v>
      </c>
    </row>
    <row r="2" spans="1:10" ht="20" x14ac:dyDescent="0.2">
      <c r="A2" s="13" t="s">
        <v>96</v>
      </c>
      <c r="B2" s="14">
        <v>0</v>
      </c>
      <c r="C2" s="14">
        <v>0</v>
      </c>
      <c r="D2" s="14">
        <v>0</v>
      </c>
      <c r="E2" s="14">
        <v>3.3348194382523406E-2</v>
      </c>
      <c r="F2" s="14">
        <v>0</v>
      </c>
      <c r="G2" s="14">
        <v>0.90512706197057513</v>
      </c>
      <c r="H2" s="14">
        <v>0</v>
      </c>
      <c r="I2" s="14"/>
      <c r="J2" s="14"/>
    </row>
    <row r="3" spans="1:10" ht="20" x14ac:dyDescent="0.2">
      <c r="A3" s="13" t="s">
        <v>97</v>
      </c>
      <c r="B3" s="14">
        <v>180</v>
      </c>
      <c r="C3" s="14">
        <v>190</v>
      </c>
      <c r="D3" s="14">
        <v>30</v>
      </c>
      <c r="E3" s="14">
        <v>10</v>
      </c>
      <c r="F3" s="14">
        <v>260</v>
      </c>
      <c r="G3" s="14">
        <v>130</v>
      </c>
      <c r="H3" s="14">
        <v>21</v>
      </c>
      <c r="I3" s="14">
        <f>SUMPRODUCT($B$2:$H$2,B3:H3)</f>
        <v>118</v>
      </c>
      <c r="J3" s="14">
        <v>118</v>
      </c>
    </row>
    <row r="4" spans="1:10" ht="20" x14ac:dyDescent="0.2">
      <c r="A4" s="13" t="s">
        <v>98</v>
      </c>
      <c r="B4" s="14">
        <v>20</v>
      </c>
      <c r="C4" s="14">
        <v>3</v>
      </c>
      <c r="D4" s="14">
        <v>40</v>
      </c>
      <c r="E4" s="14">
        <v>865</v>
      </c>
      <c r="F4" s="14">
        <v>310</v>
      </c>
      <c r="G4" s="14">
        <v>30</v>
      </c>
      <c r="H4" s="14">
        <v>2</v>
      </c>
      <c r="I4" s="14">
        <f>SUMPRODUCT($B$2:$H$2,B4:H4)</f>
        <v>56</v>
      </c>
      <c r="J4" s="14">
        <v>56</v>
      </c>
    </row>
    <row r="5" spans="1:10" ht="20" x14ac:dyDescent="0.2">
      <c r="A5" s="13" t="s">
        <v>99</v>
      </c>
      <c r="B5" s="14">
        <v>0</v>
      </c>
      <c r="C5" s="14">
        <v>0</v>
      </c>
      <c r="D5" s="14">
        <v>50</v>
      </c>
      <c r="E5" s="14">
        <v>6</v>
      </c>
      <c r="F5" s="14">
        <v>20</v>
      </c>
      <c r="G5" s="14">
        <v>650</v>
      </c>
      <c r="H5" s="14">
        <v>200</v>
      </c>
      <c r="I5" s="14">
        <f>SUMPRODUCT($B$2:$H$2,B5:H5)</f>
        <v>588.53267944716902</v>
      </c>
      <c r="J5" s="14">
        <v>500</v>
      </c>
    </row>
    <row r="6" spans="1:10" ht="20" x14ac:dyDescent="0.2">
      <c r="A6" s="13" t="s">
        <v>100</v>
      </c>
      <c r="B6" s="14">
        <v>9</v>
      </c>
      <c r="C6" s="14">
        <v>10</v>
      </c>
      <c r="D6" s="14">
        <v>7</v>
      </c>
      <c r="E6" s="14">
        <v>12</v>
      </c>
      <c r="F6" s="14">
        <v>60</v>
      </c>
      <c r="G6" s="14">
        <v>20</v>
      </c>
      <c r="H6" s="14">
        <v>10</v>
      </c>
      <c r="I6" s="14">
        <f>SUMPRODUCT($B$2:$H$2,B6:H6)</f>
        <v>18.50271957200178</v>
      </c>
      <c r="J6" s="14">
        <v>8</v>
      </c>
    </row>
    <row r="7" spans="1:10" ht="20" x14ac:dyDescent="0.2">
      <c r="A7" s="13" t="s">
        <v>101</v>
      </c>
      <c r="B7" s="14">
        <v>180</v>
      </c>
      <c r="C7" s="14">
        <v>100</v>
      </c>
      <c r="D7" s="14">
        <v>28</v>
      </c>
      <c r="E7" s="14">
        <v>340</v>
      </c>
      <c r="F7" s="14">
        <v>290</v>
      </c>
      <c r="G7" s="14">
        <v>50</v>
      </c>
      <c r="H7" s="14">
        <v>10</v>
      </c>
      <c r="I7" s="14">
        <f>SUMPRODUCT($B$2:$H$2,B7:H7)</f>
        <v>56.594739188586715</v>
      </c>
      <c r="J7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1809-6171-A34B-AE76-3858121BD8BF}">
  <dimension ref="A1:G48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0.16406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12.1640625" bestFit="1" customWidth="1"/>
  </cols>
  <sheetData>
    <row r="1" spans="1:5" x14ac:dyDescent="0.2">
      <c r="A1" s="5" t="s">
        <v>11</v>
      </c>
    </row>
    <row r="2" spans="1:5" x14ac:dyDescent="0.2">
      <c r="A2" s="5" t="s">
        <v>102</v>
      </c>
    </row>
    <row r="3" spans="1:5" x14ac:dyDescent="0.2">
      <c r="A3" s="5" t="s">
        <v>133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134</v>
      </c>
    </row>
    <row r="8" spans="1:5" hidden="1" outlineLevel="1" x14ac:dyDescent="0.2">
      <c r="A8" s="5"/>
      <c r="B8" t="s">
        <v>135</v>
      </c>
    </row>
    <row r="9" spans="1:5" collapsed="1" x14ac:dyDescent="0.2">
      <c r="A9" s="5" t="s">
        <v>19</v>
      </c>
    </row>
    <row r="10" spans="1:5" hidden="1" outlineLevel="1" x14ac:dyDescent="0.2">
      <c r="B10" t="s">
        <v>20</v>
      </c>
    </row>
    <row r="11" spans="1:5" hidden="1" outlineLevel="1" x14ac:dyDescent="0.2">
      <c r="B11" t="s">
        <v>21</v>
      </c>
    </row>
    <row r="12" spans="1:5" collapsed="1" x14ac:dyDescent="0.2"/>
    <row r="14" spans="1:5" ht="17" thickBot="1" x14ac:dyDescent="0.25">
      <c r="A14" t="s">
        <v>103</v>
      </c>
    </row>
    <row r="15" spans="1:5" ht="17" thickBot="1" x14ac:dyDescent="0.25">
      <c r="B15" s="7" t="s">
        <v>23</v>
      </c>
      <c r="C15" s="7" t="s">
        <v>24</v>
      </c>
      <c r="D15" s="7" t="s">
        <v>25</v>
      </c>
      <c r="E15" s="7" t="s">
        <v>26</v>
      </c>
    </row>
    <row r="16" spans="1:5" ht="17" thickBot="1" x14ac:dyDescent="0.25">
      <c r="B16" s="6" t="s">
        <v>104</v>
      </c>
      <c r="C16" s="6" t="s">
        <v>105</v>
      </c>
      <c r="D16" s="6">
        <v>0</v>
      </c>
      <c r="E16" s="6">
        <v>56.594739188586715</v>
      </c>
    </row>
    <row r="19" spans="1:6" ht="17" thickBot="1" x14ac:dyDescent="0.25">
      <c r="A19" t="s">
        <v>27</v>
      </c>
    </row>
    <row r="20" spans="1:6" ht="17" thickBot="1" x14ac:dyDescent="0.25">
      <c r="B20" s="7" t="s">
        <v>23</v>
      </c>
      <c r="C20" s="7" t="s">
        <v>24</v>
      </c>
      <c r="D20" s="7" t="s">
        <v>25</v>
      </c>
      <c r="E20" s="7" t="s">
        <v>26</v>
      </c>
      <c r="F20" s="7" t="s">
        <v>28</v>
      </c>
    </row>
    <row r="21" spans="1:6" x14ac:dyDescent="0.2">
      <c r="B21" s="10" t="s">
        <v>131</v>
      </c>
      <c r="C21" s="9"/>
      <c r="D21" s="9"/>
      <c r="E21" s="9"/>
      <c r="F21" s="9"/>
    </row>
    <row r="22" spans="1:6" hidden="1" outlineLevel="1" x14ac:dyDescent="0.2">
      <c r="B22" s="8" t="s">
        <v>36</v>
      </c>
      <c r="C22" s="8" t="s">
        <v>106</v>
      </c>
      <c r="D22" s="8">
        <v>0</v>
      </c>
      <c r="E22" s="8">
        <v>0</v>
      </c>
      <c r="F22" s="8" t="s">
        <v>38</v>
      </c>
    </row>
    <row r="23" spans="1:6" hidden="1" outlineLevel="1" x14ac:dyDescent="0.2">
      <c r="B23" s="8" t="s">
        <v>39</v>
      </c>
      <c r="C23" s="8" t="s">
        <v>107</v>
      </c>
      <c r="D23" s="8">
        <v>0</v>
      </c>
      <c r="E23" s="8">
        <v>0</v>
      </c>
      <c r="F23" s="8" t="s">
        <v>38</v>
      </c>
    </row>
    <row r="24" spans="1:6" hidden="1" outlineLevel="1" x14ac:dyDescent="0.2">
      <c r="B24" s="8" t="s">
        <v>108</v>
      </c>
      <c r="C24" s="8" t="s">
        <v>109</v>
      </c>
      <c r="D24" s="8">
        <v>0</v>
      </c>
      <c r="E24" s="8">
        <v>0</v>
      </c>
      <c r="F24" s="8" t="s">
        <v>38</v>
      </c>
    </row>
    <row r="25" spans="1:6" hidden="1" outlineLevel="1" x14ac:dyDescent="0.2">
      <c r="B25" s="8" t="s">
        <v>110</v>
      </c>
      <c r="C25" s="8" t="s">
        <v>111</v>
      </c>
      <c r="D25" s="8">
        <v>0</v>
      </c>
      <c r="E25" s="8">
        <v>3.3348194382523406E-2</v>
      </c>
      <c r="F25" s="8" t="s">
        <v>38</v>
      </c>
    </row>
    <row r="26" spans="1:6" hidden="1" outlineLevel="1" x14ac:dyDescent="0.2">
      <c r="B26" s="8" t="s">
        <v>112</v>
      </c>
      <c r="C26" s="8" t="s">
        <v>113</v>
      </c>
      <c r="D26" s="8">
        <v>0</v>
      </c>
      <c r="E26" s="8">
        <v>0</v>
      </c>
      <c r="F26" s="8" t="s">
        <v>38</v>
      </c>
    </row>
    <row r="27" spans="1:6" hidden="1" outlineLevel="1" x14ac:dyDescent="0.2">
      <c r="B27" s="8" t="s">
        <v>114</v>
      </c>
      <c r="C27" s="8" t="s">
        <v>115</v>
      </c>
      <c r="D27" s="8">
        <v>0</v>
      </c>
      <c r="E27" s="8">
        <v>0.90512706197057513</v>
      </c>
      <c r="F27" s="8" t="s">
        <v>38</v>
      </c>
    </row>
    <row r="28" spans="1:6" ht="17" hidden="1" outlineLevel="1" thickBot="1" x14ac:dyDescent="0.25">
      <c r="B28" s="6" t="s">
        <v>116</v>
      </c>
      <c r="C28" s="6" t="s">
        <v>117</v>
      </c>
      <c r="D28" s="6">
        <v>0</v>
      </c>
      <c r="E28" s="6">
        <v>0</v>
      </c>
      <c r="F28" s="6" t="s">
        <v>38</v>
      </c>
    </row>
    <row r="29" spans="1:6" collapsed="1" x14ac:dyDescent="0.2"/>
    <row r="32" spans="1:6" ht="17" thickBot="1" x14ac:dyDescent="0.25">
      <c r="A32" t="s">
        <v>29</v>
      </c>
    </row>
    <row r="33" spans="2:7" ht="17" thickBot="1" x14ac:dyDescent="0.25">
      <c r="B33" s="7" t="s">
        <v>23</v>
      </c>
      <c r="C33" s="7" t="s">
        <v>24</v>
      </c>
      <c r="D33" s="7" t="s">
        <v>30</v>
      </c>
      <c r="E33" s="7" t="s">
        <v>31</v>
      </c>
      <c r="F33" s="7" t="s">
        <v>32</v>
      </c>
      <c r="G33" s="7" t="s">
        <v>33</v>
      </c>
    </row>
    <row r="34" spans="2:7" x14ac:dyDescent="0.2">
      <c r="B34" s="10" t="s">
        <v>140</v>
      </c>
      <c r="C34" s="9"/>
      <c r="D34" s="9"/>
      <c r="E34" s="9"/>
      <c r="F34" s="9"/>
      <c r="G34" s="9"/>
    </row>
    <row r="35" spans="2:7" hidden="1" outlineLevel="1" x14ac:dyDescent="0.2">
      <c r="B35" s="8" t="s">
        <v>118</v>
      </c>
      <c r="C35" s="8" t="s">
        <v>119</v>
      </c>
      <c r="D35" s="8">
        <v>118</v>
      </c>
      <c r="E35" s="8" t="s">
        <v>136</v>
      </c>
      <c r="F35" s="8" t="s">
        <v>48</v>
      </c>
      <c r="G35" s="8">
        <v>0</v>
      </c>
    </row>
    <row r="36" spans="2:7" hidden="1" outlineLevel="1" x14ac:dyDescent="0.2">
      <c r="B36" s="8" t="s">
        <v>120</v>
      </c>
      <c r="C36" s="8" t="s">
        <v>121</v>
      </c>
      <c r="D36" s="8">
        <v>56</v>
      </c>
      <c r="E36" s="8" t="s">
        <v>137</v>
      </c>
      <c r="F36" s="8" t="s">
        <v>48</v>
      </c>
      <c r="G36" s="8">
        <v>0</v>
      </c>
    </row>
    <row r="37" spans="2:7" hidden="1" outlineLevel="1" x14ac:dyDescent="0.2">
      <c r="B37" s="8" t="s">
        <v>122</v>
      </c>
      <c r="C37" s="8" t="s">
        <v>123</v>
      </c>
      <c r="D37" s="8">
        <v>588.53267944716902</v>
      </c>
      <c r="E37" s="8" t="s">
        <v>138</v>
      </c>
      <c r="F37" s="8" t="s">
        <v>44</v>
      </c>
      <c r="G37" s="8">
        <v>88.532679447169016</v>
      </c>
    </row>
    <row r="38" spans="2:7" hidden="1" outlineLevel="1" x14ac:dyDescent="0.2">
      <c r="B38" s="8" t="s">
        <v>124</v>
      </c>
      <c r="C38" s="8" t="s">
        <v>125</v>
      </c>
      <c r="D38" s="8">
        <v>18.50271957200178</v>
      </c>
      <c r="E38" s="8" t="s">
        <v>139</v>
      </c>
      <c r="F38" s="8" t="s">
        <v>44</v>
      </c>
      <c r="G38" s="8">
        <v>10.50271957200178</v>
      </c>
    </row>
    <row r="39" spans="2:7" collapsed="1" x14ac:dyDescent="0.2">
      <c r="B39" s="8"/>
      <c r="C39" s="8"/>
      <c r="D39" s="8"/>
      <c r="E39" s="8"/>
      <c r="F39" s="8"/>
      <c r="G39" s="8"/>
    </row>
    <row r="40" spans="2:7" x14ac:dyDescent="0.2">
      <c r="B40" s="16" t="s">
        <v>132</v>
      </c>
      <c r="C40" s="8"/>
      <c r="D40" s="8"/>
      <c r="E40" s="8"/>
      <c r="F40" s="8"/>
      <c r="G40" s="8"/>
    </row>
    <row r="41" spans="2:7" hidden="1" outlineLevel="1" x14ac:dyDescent="0.2">
      <c r="B41" s="8" t="s">
        <v>36</v>
      </c>
      <c r="C41" s="8" t="s">
        <v>106</v>
      </c>
      <c r="D41" s="8">
        <v>0</v>
      </c>
      <c r="E41" s="8" t="s">
        <v>52</v>
      </c>
      <c r="F41" s="8" t="s">
        <v>48</v>
      </c>
      <c r="G41" s="8">
        <v>0</v>
      </c>
    </row>
    <row r="42" spans="2:7" hidden="1" outlineLevel="1" x14ac:dyDescent="0.2">
      <c r="B42" s="8" t="s">
        <v>39</v>
      </c>
      <c r="C42" s="8" t="s">
        <v>107</v>
      </c>
      <c r="D42" s="8">
        <v>0</v>
      </c>
      <c r="E42" s="8" t="s">
        <v>53</v>
      </c>
      <c r="F42" s="8" t="s">
        <v>48</v>
      </c>
      <c r="G42" s="8">
        <v>0</v>
      </c>
    </row>
    <row r="43" spans="2:7" hidden="1" outlineLevel="1" x14ac:dyDescent="0.2">
      <c r="B43" s="8" t="s">
        <v>108</v>
      </c>
      <c r="C43" s="8" t="s">
        <v>109</v>
      </c>
      <c r="D43" s="8">
        <v>0</v>
      </c>
      <c r="E43" s="8" t="s">
        <v>126</v>
      </c>
      <c r="F43" s="8" t="s">
        <v>48</v>
      </c>
      <c r="G43" s="8">
        <v>0</v>
      </c>
    </row>
    <row r="44" spans="2:7" hidden="1" outlineLevel="1" x14ac:dyDescent="0.2">
      <c r="B44" s="8" t="s">
        <v>110</v>
      </c>
      <c r="C44" s="8" t="s">
        <v>111</v>
      </c>
      <c r="D44" s="8">
        <v>3.3348194382523406E-2</v>
      </c>
      <c r="E44" s="8" t="s">
        <v>127</v>
      </c>
      <c r="F44" s="8" t="s">
        <v>44</v>
      </c>
      <c r="G44" s="8">
        <v>3.3348194382523406E-2</v>
      </c>
    </row>
    <row r="45" spans="2:7" hidden="1" outlineLevel="1" x14ac:dyDescent="0.2">
      <c r="B45" s="8" t="s">
        <v>112</v>
      </c>
      <c r="C45" s="8" t="s">
        <v>113</v>
      </c>
      <c r="D45" s="8">
        <v>0</v>
      </c>
      <c r="E45" s="8" t="s">
        <v>128</v>
      </c>
      <c r="F45" s="8" t="s">
        <v>48</v>
      </c>
      <c r="G45" s="8">
        <v>0</v>
      </c>
    </row>
    <row r="46" spans="2:7" hidden="1" outlineLevel="1" x14ac:dyDescent="0.2">
      <c r="B46" s="8" t="s">
        <v>114</v>
      </c>
      <c r="C46" s="8" t="s">
        <v>115</v>
      </c>
      <c r="D46" s="8">
        <v>0.90512706197057513</v>
      </c>
      <c r="E46" s="8" t="s">
        <v>129</v>
      </c>
      <c r="F46" s="8" t="s">
        <v>44</v>
      </c>
      <c r="G46" s="8">
        <v>0.90512706197057513</v>
      </c>
    </row>
    <row r="47" spans="2:7" ht="17" hidden="1" outlineLevel="1" thickBot="1" x14ac:dyDescent="0.25">
      <c r="B47" s="6" t="s">
        <v>116</v>
      </c>
      <c r="C47" s="6" t="s">
        <v>117</v>
      </c>
      <c r="D47" s="6">
        <v>0</v>
      </c>
      <c r="E47" s="6" t="s">
        <v>130</v>
      </c>
      <c r="F47" s="6" t="s">
        <v>48</v>
      </c>
      <c r="G47" s="6">
        <v>0</v>
      </c>
    </row>
    <row r="48" spans="2:7" collapsed="1" x14ac:dyDescent="0.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89D3-6E84-7B47-9CD1-5CEEFEC7CFC8}">
  <dimension ref="A1:H27"/>
  <sheetViews>
    <sheetView showGridLines="0" workbookViewId="0">
      <selection sqref="A1:A3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0.1640625" bestFit="1" customWidth="1"/>
    <col min="4" max="4" width="14.5" bestFit="1" customWidth="1"/>
    <col min="5" max="5" width="12.1640625" bestFit="1" customWidth="1"/>
    <col min="6" max="6" width="16.5" bestFit="1" customWidth="1"/>
    <col min="7" max="7" width="12.1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102</v>
      </c>
    </row>
    <row r="3" spans="1:8" x14ac:dyDescent="0.2">
      <c r="A3" s="5" t="s">
        <v>141</v>
      </c>
    </row>
    <row r="6" spans="1:8" ht="17" thickBot="1" x14ac:dyDescent="0.25">
      <c r="A6" t="s">
        <v>27</v>
      </c>
    </row>
    <row r="7" spans="1:8" x14ac:dyDescent="0.2">
      <c r="B7" s="11"/>
      <c r="C7" s="11"/>
      <c r="D7" s="11" t="s">
        <v>56</v>
      </c>
      <c r="E7" s="11" t="s">
        <v>58</v>
      </c>
      <c r="F7" s="11" t="s">
        <v>60</v>
      </c>
      <c r="G7" s="11" t="s">
        <v>62</v>
      </c>
      <c r="H7" s="11" t="s">
        <v>62</v>
      </c>
    </row>
    <row r="8" spans="1:8" ht="17" thickBot="1" x14ac:dyDescent="0.25">
      <c r="B8" s="12" t="s">
        <v>23</v>
      </c>
      <c r="C8" s="12" t="s">
        <v>24</v>
      </c>
      <c r="D8" s="12" t="s">
        <v>57</v>
      </c>
      <c r="E8" s="12" t="s">
        <v>59</v>
      </c>
      <c r="F8" s="12" t="s">
        <v>61</v>
      </c>
      <c r="G8" s="12" t="s">
        <v>63</v>
      </c>
      <c r="H8" s="12" t="s">
        <v>64</v>
      </c>
    </row>
    <row r="9" spans="1:8" x14ac:dyDescent="0.2">
      <c r="B9" s="10" t="s">
        <v>131</v>
      </c>
      <c r="C9" s="9"/>
      <c r="D9" s="9"/>
      <c r="E9" s="9"/>
      <c r="F9" s="9"/>
      <c r="G9" s="9"/>
      <c r="H9" s="9"/>
    </row>
    <row r="10" spans="1:8" hidden="1" outlineLevel="1" x14ac:dyDescent="0.2">
      <c r="B10" s="8" t="s">
        <v>36</v>
      </c>
      <c r="C10" s="8" t="s">
        <v>106</v>
      </c>
      <c r="D10" s="8">
        <v>0</v>
      </c>
      <c r="E10" s="8">
        <v>119.16183682567988</v>
      </c>
      <c r="F10" s="8">
        <v>180</v>
      </c>
      <c r="G10" s="8">
        <v>1E+30</v>
      </c>
      <c r="H10" s="8">
        <v>119.16183682567988</v>
      </c>
    </row>
    <row r="11" spans="1:8" hidden="1" outlineLevel="1" x14ac:dyDescent="0.2">
      <c r="B11" s="8" t="s">
        <v>39</v>
      </c>
      <c r="C11" s="8" t="s">
        <v>107</v>
      </c>
      <c r="D11" s="8">
        <v>0</v>
      </c>
      <c r="E11" s="8">
        <v>42.839054837271519</v>
      </c>
      <c r="F11" s="8">
        <v>100</v>
      </c>
      <c r="G11" s="8">
        <v>1E+30</v>
      </c>
      <c r="H11" s="8">
        <v>42.839054837271519</v>
      </c>
    </row>
    <row r="12" spans="1:8" hidden="1" outlineLevel="1" x14ac:dyDescent="0.2">
      <c r="B12" s="8" t="s">
        <v>108</v>
      </c>
      <c r="C12" s="8" t="s">
        <v>109</v>
      </c>
      <c r="D12" s="8">
        <v>0</v>
      </c>
      <c r="E12" s="8">
        <v>3.5728934462773045</v>
      </c>
      <c r="F12" s="8">
        <v>28</v>
      </c>
      <c r="G12" s="8">
        <v>1E+30</v>
      </c>
      <c r="H12" s="8">
        <v>3.5728934462773045</v>
      </c>
    </row>
    <row r="13" spans="1:8" hidden="1" outlineLevel="1" x14ac:dyDescent="0.2">
      <c r="B13" s="8" t="s">
        <v>110</v>
      </c>
      <c r="C13" s="8" t="s">
        <v>111</v>
      </c>
      <c r="D13" s="8">
        <v>3.3348194382523406E-2</v>
      </c>
      <c r="E13" s="8">
        <v>0</v>
      </c>
      <c r="F13" s="8">
        <v>340</v>
      </c>
      <c r="G13" s="8">
        <v>93.18604651162785</v>
      </c>
      <c r="H13" s="8">
        <v>336.15384615384613</v>
      </c>
    </row>
    <row r="14" spans="1:8" hidden="1" outlineLevel="1" x14ac:dyDescent="0.2">
      <c r="B14" s="8" t="s">
        <v>112</v>
      </c>
      <c r="C14" s="8" t="s">
        <v>113</v>
      </c>
      <c r="D14" s="8">
        <v>0</v>
      </c>
      <c r="E14" s="8">
        <v>92.585822559072653</v>
      </c>
      <c r="F14" s="8">
        <v>290</v>
      </c>
      <c r="G14" s="8">
        <v>1E+30</v>
      </c>
      <c r="H14" s="8">
        <v>92.585822559072653</v>
      </c>
    </row>
    <row r="15" spans="1:8" hidden="1" outlineLevel="1" x14ac:dyDescent="0.2">
      <c r="B15" s="8" t="s">
        <v>114</v>
      </c>
      <c r="C15" s="8" t="s">
        <v>115</v>
      </c>
      <c r="D15" s="8">
        <v>0.90512706197057513</v>
      </c>
      <c r="E15" s="8">
        <v>0</v>
      </c>
      <c r="F15" s="8">
        <v>50</v>
      </c>
      <c r="G15" s="8">
        <v>15.68297455968688</v>
      </c>
      <c r="H15" s="8">
        <v>38.20809248554913</v>
      </c>
    </row>
    <row r="16" spans="1:8" ht="17" hidden="1" outlineLevel="1" thickBot="1" x14ac:dyDescent="0.25">
      <c r="B16" s="6" t="s">
        <v>116</v>
      </c>
      <c r="C16" s="6" t="s">
        <v>117</v>
      </c>
      <c r="D16" s="6">
        <v>0</v>
      </c>
      <c r="E16" s="6">
        <v>3.0320998662505567</v>
      </c>
      <c r="F16" s="6">
        <v>10</v>
      </c>
      <c r="G16" s="6">
        <v>1E+30</v>
      </c>
      <c r="H16" s="6">
        <v>3.0320998662505567</v>
      </c>
    </row>
    <row r="17" spans="1:8" collapsed="1" x14ac:dyDescent="0.2"/>
    <row r="19" spans="1:8" ht="17" thickBot="1" x14ac:dyDescent="0.25">
      <c r="A19" t="s">
        <v>29</v>
      </c>
    </row>
    <row r="20" spans="1:8" x14ac:dyDescent="0.2">
      <c r="B20" s="11"/>
      <c r="C20" s="11"/>
      <c r="D20" s="11" t="s">
        <v>56</v>
      </c>
      <c r="E20" s="11" t="s">
        <v>65</v>
      </c>
      <c r="F20" s="11" t="s">
        <v>67</v>
      </c>
      <c r="G20" s="11" t="s">
        <v>62</v>
      </c>
      <c r="H20" s="11" t="s">
        <v>62</v>
      </c>
    </row>
    <row r="21" spans="1:8" ht="17" thickBot="1" x14ac:dyDescent="0.25">
      <c r="B21" s="12" t="s">
        <v>23</v>
      </c>
      <c r="C21" s="12" t="s">
        <v>24</v>
      </c>
      <c r="D21" s="12" t="s">
        <v>57</v>
      </c>
      <c r="E21" s="12" t="s">
        <v>66</v>
      </c>
      <c r="F21" s="12" t="s">
        <v>68</v>
      </c>
      <c r="G21" s="12" t="s">
        <v>63</v>
      </c>
      <c r="H21" s="12" t="s">
        <v>64</v>
      </c>
    </row>
    <row r="22" spans="1:8" x14ac:dyDescent="0.2">
      <c r="B22" s="10" t="s">
        <v>140</v>
      </c>
      <c r="C22" s="9"/>
      <c r="D22" s="9"/>
      <c r="E22" s="9"/>
      <c r="F22" s="9"/>
      <c r="G22" s="9"/>
      <c r="H22" s="9"/>
    </row>
    <row r="23" spans="1:8" hidden="1" outlineLevel="1" x14ac:dyDescent="0.2">
      <c r="B23" s="8" t="s">
        <v>118</v>
      </c>
      <c r="C23" s="8" t="s">
        <v>119</v>
      </c>
      <c r="D23" s="8">
        <v>118</v>
      </c>
      <c r="E23" s="8">
        <v>0.294694605439144</v>
      </c>
      <c r="F23" s="8">
        <v>118</v>
      </c>
      <c r="G23" s="8">
        <v>124.66666666666666</v>
      </c>
      <c r="H23" s="8">
        <v>17.664952763890643</v>
      </c>
    </row>
    <row r="24" spans="1:8" hidden="1" outlineLevel="1" x14ac:dyDescent="0.2">
      <c r="B24" s="8" t="s">
        <v>120</v>
      </c>
      <c r="C24" s="8" t="s">
        <v>121</v>
      </c>
      <c r="D24" s="8">
        <v>56</v>
      </c>
      <c r="E24" s="8">
        <v>0.38965670976370942</v>
      </c>
      <c r="F24" s="8">
        <v>56</v>
      </c>
      <c r="G24" s="8">
        <v>1735.8286713286745</v>
      </c>
      <c r="H24" s="8">
        <v>28.769230769230759</v>
      </c>
    </row>
    <row r="25" spans="1:8" hidden="1" outlineLevel="1" x14ac:dyDescent="0.2">
      <c r="B25" s="8" t="s">
        <v>122</v>
      </c>
      <c r="C25" s="8" t="s">
        <v>123</v>
      </c>
      <c r="D25" s="8">
        <v>588.53267944716902</v>
      </c>
      <c r="E25" s="8">
        <v>0</v>
      </c>
      <c r="F25" s="8">
        <v>500</v>
      </c>
      <c r="G25" s="8">
        <v>88.532679447169102</v>
      </c>
      <c r="H25" s="8">
        <v>1E+30</v>
      </c>
    </row>
    <row r="26" spans="1:8" ht="17" hidden="1" outlineLevel="1" thickBot="1" x14ac:dyDescent="0.25">
      <c r="B26" s="6" t="s">
        <v>124</v>
      </c>
      <c r="C26" s="6" t="s">
        <v>125</v>
      </c>
      <c r="D26" s="6">
        <v>18.50271957200178</v>
      </c>
      <c r="E26" s="6">
        <v>0</v>
      </c>
      <c r="F26" s="6">
        <v>8</v>
      </c>
      <c r="G26" s="6">
        <v>10.502719572001785</v>
      </c>
      <c r="H26" s="6">
        <v>1E+30</v>
      </c>
    </row>
    <row r="27" spans="1:8" collapsed="1" x14ac:dyDescent="0.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85BC-4531-1145-8390-1A1C27CB4405}">
  <dimension ref="A1:F9"/>
  <sheetViews>
    <sheetView workbookViewId="0">
      <selection activeCell="E23" sqref="E23"/>
    </sheetView>
  </sheetViews>
  <sheetFormatPr baseColWidth="10" defaultRowHeight="16" x14ac:dyDescent="0.2"/>
  <cols>
    <col min="1" max="1" width="28.33203125" bestFit="1" customWidth="1"/>
    <col min="2" max="2" width="17" bestFit="1" customWidth="1"/>
    <col min="3" max="3" width="15.5" bestFit="1" customWidth="1"/>
    <col min="4" max="4" width="17.1640625" bestFit="1" customWidth="1"/>
    <col min="5" max="5" width="21" bestFit="1" customWidth="1"/>
    <col min="6" max="6" width="19.5" bestFit="1" customWidth="1"/>
  </cols>
  <sheetData>
    <row r="1" spans="1:6" ht="20" x14ac:dyDescent="0.2">
      <c r="A1" s="4" t="s">
        <v>149</v>
      </c>
      <c r="B1" s="3" t="s">
        <v>142</v>
      </c>
      <c r="C1" s="3" t="s">
        <v>143</v>
      </c>
      <c r="D1" s="3" t="s">
        <v>144</v>
      </c>
      <c r="E1" s="3" t="s">
        <v>1</v>
      </c>
      <c r="F1" s="3" t="s">
        <v>145</v>
      </c>
    </row>
    <row r="2" spans="1:6" ht="20" x14ac:dyDescent="0.2">
      <c r="A2" s="4" t="s">
        <v>146</v>
      </c>
      <c r="B2" s="3">
        <v>100.0000000000002</v>
      </c>
      <c r="C2" s="3">
        <v>0</v>
      </c>
      <c r="D2" s="3">
        <v>1200</v>
      </c>
      <c r="E2" s="3"/>
      <c r="F2" s="3"/>
    </row>
    <row r="3" spans="1:6" ht="20" x14ac:dyDescent="0.2">
      <c r="A3" s="4" t="s">
        <v>147</v>
      </c>
      <c r="B3" s="3">
        <v>0.8</v>
      </c>
      <c r="C3" s="3">
        <v>0.5</v>
      </c>
      <c r="D3" s="3">
        <v>0.6</v>
      </c>
      <c r="E3" s="14">
        <f>SUMPRODUCT(B2:D2,B3:D3)</f>
        <v>800.00000000000023</v>
      </c>
      <c r="F3" s="3">
        <v>800</v>
      </c>
    </row>
    <row r="4" spans="1:6" ht="20" x14ac:dyDescent="0.2">
      <c r="A4" s="4" t="s">
        <v>148</v>
      </c>
      <c r="B4" s="3">
        <v>0.4</v>
      </c>
      <c r="C4" s="3">
        <v>0.4</v>
      </c>
      <c r="D4" s="3">
        <v>0.3</v>
      </c>
      <c r="E4" s="14">
        <f>SUMPRODUCT(B2:D2,B4:D4)</f>
        <v>400.00000000000011</v>
      </c>
      <c r="F4" s="3">
        <v>600</v>
      </c>
    </row>
    <row r="5" spans="1:6" ht="20" x14ac:dyDescent="0.2">
      <c r="A5" s="4" t="s">
        <v>149</v>
      </c>
      <c r="B5" s="3">
        <v>0</v>
      </c>
      <c r="C5" s="3">
        <v>0.1</v>
      </c>
      <c r="D5" s="3">
        <v>0.1</v>
      </c>
      <c r="E5" s="14">
        <f>SUMPRODUCT(B2:D2,B5:D5)</f>
        <v>120</v>
      </c>
      <c r="F5" s="3">
        <v>120</v>
      </c>
    </row>
    <row r="6" spans="1:6" ht="20" x14ac:dyDescent="0.2">
      <c r="A6" s="4" t="s">
        <v>150</v>
      </c>
      <c r="B6" s="3">
        <v>108</v>
      </c>
      <c r="C6" s="3">
        <v>112</v>
      </c>
      <c r="D6" s="3">
        <v>126</v>
      </c>
      <c r="E6" s="14">
        <f>SUMPRODUCT(B2:D2,B6:D6)</f>
        <v>162000.00000000003</v>
      </c>
      <c r="F6" s="3"/>
    </row>
    <row r="7" spans="1:6" x14ac:dyDescent="0.2">
      <c r="A7" s="17"/>
      <c r="B7" s="17"/>
      <c r="C7" s="17"/>
      <c r="D7" s="17"/>
      <c r="E7" s="17"/>
      <c r="F7" s="17"/>
    </row>
    <row r="9" spans="1:6" x14ac:dyDescent="0.2">
      <c r="C9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3CA9-528A-9941-BC20-35F00AD5A568}">
  <dimension ref="A1:G39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29.832031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7.5" bestFit="1" customWidth="1"/>
  </cols>
  <sheetData>
    <row r="1" spans="1:5" x14ac:dyDescent="0.2">
      <c r="A1" s="5" t="s">
        <v>11</v>
      </c>
    </row>
    <row r="2" spans="1:5" x14ac:dyDescent="0.2">
      <c r="A2" s="5" t="s">
        <v>151</v>
      </c>
    </row>
    <row r="3" spans="1:5" x14ac:dyDescent="0.2">
      <c r="A3" s="5" t="s">
        <v>152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153</v>
      </c>
    </row>
    <row r="8" spans="1:5" hidden="1" outlineLevel="1" x14ac:dyDescent="0.2">
      <c r="A8" s="5"/>
      <c r="B8" t="s">
        <v>80</v>
      </c>
    </row>
    <row r="9" spans="1:5" collapsed="1" x14ac:dyDescent="0.2">
      <c r="A9" s="5" t="s">
        <v>19</v>
      </c>
    </row>
    <row r="10" spans="1:5" hidden="1" outlineLevel="1" x14ac:dyDescent="0.2">
      <c r="B10" t="s">
        <v>20</v>
      </c>
    </row>
    <row r="11" spans="1:5" hidden="1" outlineLevel="1" x14ac:dyDescent="0.2">
      <c r="B11" t="s">
        <v>21</v>
      </c>
    </row>
    <row r="12" spans="1:5" collapsed="1" x14ac:dyDescent="0.2"/>
    <row r="14" spans="1:5" ht="17" thickBot="1" x14ac:dyDescent="0.25">
      <c r="A14" t="s">
        <v>22</v>
      </c>
    </row>
    <row r="15" spans="1:5" ht="17" thickBot="1" x14ac:dyDescent="0.25">
      <c r="B15" s="7" t="s">
        <v>23</v>
      </c>
      <c r="C15" s="7" t="s">
        <v>24</v>
      </c>
      <c r="D15" s="7" t="s">
        <v>25</v>
      </c>
      <c r="E15" s="7" t="s">
        <v>26</v>
      </c>
    </row>
    <row r="16" spans="1:5" ht="17" thickBot="1" x14ac:dyDescent="0.25">
      <c r="B16" s="6" t="s">
        <v>154</v>
      </c>
      <c r="C16" s="6" t="s">
        <v>155</v>
      </c>
      <c r="D16" s="6">
        <v>0</v>
      </c>
      <c r="E16" s="6">
        <v>162000.00000000003</v>
      </c>
    </row>
    <row r="19" spans="1:7" ht="17" thickBot="1" x14ac:dyDescent="0.25">
      <c r="A19" t="s">
        <v>27</v>
      </c>
    </row>
    <row r="20" spans="1:7" ht="17" thickBot="1" x14ac:dyDescent="0.25">
      <c r="B20" s="7" t="s">
        <v>23</v>
      </c>
      <c r="C20" s="7" t="s">
        <v>24</v>
      </c>
      <c r="D20" s="7" t="s">
        <v>25</v>
      </c>
      <c r="E20" s="7" t="s">
        <v>26</v>
      </c>
      <c r="F20" s="7" t="s">
        <v>28</v>
      </c>
    </row>
    <row r="21" spans="1:7" x14ac:dyDescent="0.2">
      <c r="B21" s="10" t="s">
        <v>168</v>
      </c>
      <c r="C21" s="9"/>
      <c r="D21" s="9"/>
      <c r="E21" s="9"/>
      <c r="F21" s="9"/>
    </row>
    <row r="22" spans="1:7" hidden="1" outlineLevel="1" x14ac:dyDescent="0.2">
      <c r="B22" s="8" t="s">
        <v>36</v>
      </c>
      <c r="C22" s="8" t="s">
        <v>156</v>
      </c>
      <c r="D22" s="8">
        <v>0</v>
      </c>
      <c r="E22" s="8">
        <v>100.0000000000002</v>
      </c>
      <c r="F22" s="8" t="s">
        <v>38</v>
      </c>
    </row>
    <row r="23" spans="1:7" hidden="1" outlineLevel="1" x14ac:dyDescent="0.2">
      <c r="B23" s="8" t="s">
        <v>39</v>
      </c>
      <c r="C23" s="8" t="s">
        <v>157</v>
      </c>
      <c r="D23" s="8">
        <v>0</v>
      </c>
      <c r="E23" s="8">
        <v>0</v>
      </c>
      <c r="F23" s="8" t="s">
        <v>38</v>
      </c>
    </row>
    <row r="24" spans="1:7" ht="17" hidden="1" outlineLevel="1" thickBot="1" x14ac:dyDescent="0.25">
      <c r="B24" s="6" t="s">
        <v>108</v>
      </c>
      <c r="C24" s="6" t="s">
        <v>158</v>
      </c>
      <c r="D24" s="6">
        <v>0</v>
      </c>
      <c r="E24" s="6">
        <v>1200</v>
      </c>
      <c r="F24" s="6" t="s">
        <v>38</v>
      </c>
    </row>
    <row r="25" spans="1:7" collapsed="1" x14ac:dyDescent="0.2"/>
    <row r="28" spans="1:7" ht="17" thickBot="1" x14ac:dyDescent="0.25">
      <c r="A28" t="s">
        <v>29</v>
      </c>
    </row>
    <row r="29" spans="1:7" ht="17" thickBot="1" x14ac:dyDescent="0.25">
      <c r="B29" s="7" t="s">
        <v>23</v>
      </c>
      <c r="C29" s="7" t="s">
        <v>24</v>
      </c>
      <c r="D29" s="7" t="s">
        <v>30</v>
      </c>
      <c r="E29" s="7" t="s">
        <v>31</v>
      </c>
      <c r="F29" s="7" t="s">
        <v>32</v>
      </c>
      <c r="G29" s="7" t="s">
        <v>33</v>
      </c>
    </row>
    <row r="30" spans="1:7" x14ac:dyDescent="0.2">
      <c r="B30" s="10" t="s">
        <v>169</v>
      </c>
      <c r="C30" s="9"/>
      <c r="D30" s="9"/>
      <c r="E30" s="9"/>
      <c r="F30" s="9"/>
      <c r="G30" s="9"/>
    </row>
    <row r="31" spans="1:7" hidden="1" outlineLevel="1" x14ac:dyDescent="0.2">
      <c r="B31" s="8" t="s">
        <v>159</v>
      </c>
      <c r="C31" s="8" t="s">
        <v>160</v>
      </c>
      <c r="D31" s="8">
        <v>800.00000000000023</v>
      </c>
      <c r="E31" s="8" t="s">
        <v>161</v>
      </c>
      <c r="F31" s="8" t="s">
        <v>48</v>
      </c>
      <c r="G31" s="8">
        <v>0</v>
      </c>
    </row>
    <row r="32" spans="1:7" hidden="1" outlineLevel="1" x14ac:dyDescent="0.2">
      <c r="B32" s="8" t="s">
        <v>162</v>
      </c>
      <c r="C32" s="8" t="s">
        <v>163</v>
      </c>
      <c r="D32" s="8">
        <v>400.00000000000011</v>
      </c>
      <c r="E32" s="8" t="s">
        <v>164</v>
      </c>
      <c r="F32" s="8" t="s">
        <v>44</v>
      </c>
      <c r="G32" s="8">
        <v>199.99999999999989</v>
      </c>
    </row>
    <row r="33" spans="2:7" hidden="1" outlineLevel="1" x14ac:dyDescent="0.2">
      <c r="B33" s="8" t="s">
        <v>165</v>
      </c>
      <c r="C33" s="8" t="s">
        <v>166</v>
      </c>
      <c r="D33" s="8">
        <v>120</v>
      </c>
      <c r="E33" s="8" t="s">
        <v>167</v>
      </c>
      <c r="F33" s="8" t="s">
        <v>48</v>
      </c>
      <c r="G33" s="8">
        <v>0</v>
      </c>
    </row>
    <row r="34" spans="2:7" collapsed="1" x14ac:dyDescent="0.2">
      <c r="B34" s="8"/>
      <c r="C34" s="8"/>
      <c r="D34" s="8"/>
      <c r="E34" s="8"/>
      <c r="F34" s="8"/>
      <c r="G34" s="8"/>
    </row>
    <row r="35" spans="2:7" x14ac:dyDescent="0.2">
      <c r="B35" s="16" t="s">
        <v>170</v>
      </c>
      <c r="C35" s="8"/>
      <c r="D35" s="8"/>
      <c r="E35" s="8"/>
      <c r="F35" s="8"/>
      <c r="G35" s="8"/>
    </row>
    <row r="36" spans="2:7" hidden="1" outlineLevel="1" x14ac:dyDescent="0.2">
      <c r="B36" s="8" t="s">
        <v>36</v>
      </c>
      <c r="C36" s="8" t="s">
        <v>156</v>
      </c>
      <c r="D36" s="8">
        <v>100.0000000000002</v>
      </c>
      <c r="E36" s="8" t="s">
        <v>52</v>
      </c>
      <c r="F36" s="8" t="s">
        <v>44</v>
      </c>
      <c r="G36" s="8">
        <v>100.0000000000002</v>
      </c>
    </row>
    <row r="37" spans="2:7" hidden="1" outlineLevel="1" x14ac:dyDescent="0.2">
      <c r="B37" s="8" t="s">
        <v>39</v>
      </c>
      <c r="C37" s="8" t="s">
        <v>157</v>
      </c>
      <c r="D37" s="8">
        <v>0</v>
      </c>
      <c r="E37" s="8" t="s">
        <v>53</v>
      </c>
      <c r="F37" s="8" t="s">
        <v>48</v>
      </c>
      <c r="G37" s="8">
        <v>0</v>
      </c>
    </row>
    <row r="38" spans="2:7" ht="17" hidden="1" outlineLevel="1" thickBot="1" x14ac:dyDescent="0.25">
      <c r="B38" s="6" t="s">
        <v>108</v>
      </c>
      <c r="C38" s="6" t="s">
        <v>158</v>
      </c>
      <c r="D38" s="6">
        <v>1200</v>
      </c>
      <c r="E38" s="6" t="s">
        <v>126</v>
      </c>
      <c r="F38" s="6" t="s">
        <v>44</v>
      </c>
      <c r="G38" s="6">
        <v>1200</v>
      </c>
    </row>
    <row r="39" spans="2:7" collapsed="1" x14ac:dyDescent="0.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D00B-3B98-7C4F-922B-AF4D4B90E876}">
  <dimension ref="A1:H22"/>
  <sheetViews>
    <sheetView showGridLines="0" zoomScale="118" workbookViewId="0">
      <selection sqref="A1:A3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27.6640625" bestFit="1" customWidth="1"/>
    <col min="4" max="4" width="14.5" bestFit="1" customWidth="1"/>
    <col min="5" max="5" width="11.5" bestFit="1" customWidth="1"/>
    <col min="6" max="6" width="16.5" bestFit="1" customWidth="1"/>
    <col min="7" max="7" width="12.1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151</v>
      </c>
    </row>
    <row r="3" spans="1:8" x14ac:dyDescent="0.2">
      <c r="A3" s="5" t="s">
        <v>171</v>
      </c>
    </row>
    <row r="6" spans="1:8" ht="17" thickBot="1" x14ac:dyDescent="0.25">
      <c r="A6" t="s">
        <v>27</v>
      </c>
    </row>
    <row r="7" spans="1:8" x14ac:dyDescent="0.2">
      <c r="B7" s="11"/>
      <c r="C7" s="11"/>
      <c r="D7" s="11" t="s">
        <v>56</v>
      </c>
      <c r="E7" s="11" t="s">
        <v>58</v>
      </c>
      <c r="F7" s="11" t="s">
        <v>60</v>
      </c>
      <c r="G7" s="11" t="s">
        <v>62</v>
      </c>
      <c r="H7" s="11" t="s">
        <v>62</v>
      </c>
    </row>
    <row r="8" spans="1:8" ht="17" thickBot="1" x14ac:dyDescent="0.25">
      <c r="B8" s="12" t="s">
        <v>23</v>
      </c>
      <c r="C8" s="12" t="s">
        <v>24</v>
      </c>
      <c r="D8" s="12" t="s">
        <v>57</v>
      </c>
      <c r="E8" s="12" t="s">
        <v>59</v>
      </c>
      <c r="F8" s="12" t="s">
        <v>61</v>
      </c>
      <c r="G8" s="12" t="s">
        <v>63</v>
      </c>
      <c r="H8" s="12" t="s">
        <v>64</v>
      </c>
    </row>
    <row r="9" spans="1:8" x14ac:dyDescent="0.2">
      <c r="B9" s="10" t="s">
        <v>168</v>
      </c>
      <c r="C9" s="9"/>
      <c r="D9" s="9"/>
      <c r="E9" s="9"/>
      <c r="F9" s="9"/>
      <c r="G9" s="9"/>
      <c r="H9" s="9"/>
    </row>
    <row r="10" spans="1:8" hidden="1" outlineLevel="1" x14ac:dyDescent="0.2">
      <c r="B10" s="8" t="s">
        <v>36</v>
      </c>
      <c r="C10" s="8" t="s">
        <v>156</v>
      </c>
      <c r="D10" s="8">
        <v>100.0000000000002</v>
      </c>
      <c r="E10" s="8">
        <v>0</v>
      </c>
      <c r="F10" s="8">
        <v>108</v>
      </c>
      <c r="G10" s="8">
        <v>4.0000000000001492</v>
      </c>
      <c r="H10" s="8">
        <v>108</v>
      </c>
    </row>
    <row r="11" spans="1:8" hidden="1" outlineLevel="1" x14ac:dyDescent="0.2">
      <c r="B11" s="8" t="s">
        <v>39</v>
      </c>
      <c r="C11" s="8" t="s">
        <v>157</v>
      </c>
      <c r="D11" s="8">
        <v>0</v>
      </c>
      <c r="E11" s="8">
        <v>-0.50000000000001799</v>
      </c>
      <c r="F11" s="8">
        <v>112</v>
      </c>
      <c r="G11" s="8">
        <v>0.50000000000001799</v>
      </c>
      <c r="H11" s="8">
        <v>1E+30</v>
      </c>
    </row>
    <row r="12" spans="1:8" ht="17" hidden="1" outlineLevel="1" thickBot="1" x14ac:dyDescent="0.25">
      <c r="B12" s="6" t="s">
        <v>108</v>
      </c>
      <c r="C12" s="6" t="s">
        <v>158</v>
      </c>
      <c r="D12" s="6">
        <v>1200</v>
      </c>
      <c r="E12" s="6">
        <v>0</v>
      </c>
      <c r="F12" s="6">
        <v>126</v>
      </c>
      <c r="G12" s="6">
        <v>1E+30</v>
      </c>
      <c r="H12" s="6">
        <v>0.50000000000001799</v>
      </c>
    </row>
    <row r="13" spans="1:8" collapsed="1" x14ac:dyDescent="0.2"/>
    <row r="15" spans="1:8" ht="17" thickBot="1" x14ac:dyDescent="0.25">
      <c r="A15" t="s">
        <v>29</v>
      </c>
    </row>
    <row r="16" spans="1:8" x14ac:dyDescent="0.2">
      <c r="B16" s="11"/>
      <c r="C16" s="11"/>
      <c r="D16" s="11" t="s">
        <v>56</v>
      </c>
      <c r="E16" s="11" t="s">
        <v>65</v>
      </c>
      <c r="F16" s="11" t="s">
        <v>67</v>
      </c>
      <c r="G16" s="11" t="s">
        <v>62</v>
      </c>
      <c r="H16" s="11" t="s">
        <v>62</v>
      </c>
    </row>
    <row r="17" spans="2:8" ht="17" thickBot="1" x14ac:dyDescent="0.25">
      <c r="B17" s="12" t="s">
        <v>23</v>
      </c>
      <c r="C17" s="12" t="s">
        <v>24</v>
      </c>
      <c r="D17" s="12" t="s">
        <v>57</v>
      </c>
      <c r="E17" s="12" t="s">
        <v>66</v>
      </c>
      <c r="F17" s="12" t="s">
        <v>68</v>
      </c>
      <c r="G17" s="12" t="s">
        <v>63</v>
      </c>
      <c r="H17" s="12" t="s">
        <v>64</v>
      </c>
    </row>
    <row r="18" spans="2:8" x14ac:dyDescent="0.2">
      <c r="B18" s="10" t="s">
        <v>169</v>
      </c>
      <c r="C18" s="9"/>
      <c r="D18" s="9"/>
      <c r="E18" s="9"/>
      <c r="F18" s="9"/>
      <c r="G18" s="9"/>
      <c r="H18" s="9"/>
    </row>
    <row r="19" spans="2:8" hidden="1" outlineLevel="1" x14ac:dyDescent="0.2">
      <c r="B19" s="8" t="s">
        <v>159</v>
      </c>
      <c r="C19" s="8" t="s">
        <v>160</v>
      </c>
      <c r="D19" s="8">
        <v>800.00000000000023</v>
      </c>
      <c r="E19" s="8">
        <v>135</v>
      </c>
      <c r="F19" s="8">
        <v>800</v>
      </c>
      <c r="G19" s="8">
        <v>399.99999999999972</v>
      </c>
      <c r="H19" s="8">
        <v>80.000000000000156</v>
      </c>
    </row>
    <row r="20" spans="2:8" hidden="1" outlineLevel="1" x14ac:dyDescent="0.2">
      <c r="B20" s="8" t="s">
        <v>162</v>
      </c>
      <c r="C20" s="8" t="s">
        <v>163</v>
      </c>
      <c r="D20" s="8">
        <v>400.00000000000011</v>
      </c>
      <c r="E20" s="8">
        <v>0</v>
      </c>
      <c r="F20" s="8">
        <v>600</v>
      </c>
      <c r="G20" s="8">
        <v>1E+30</v>
      </c>
      <c r="H20" s="8">
        <v>199.99999999999986</v>
      </c>
    </row>
    <row r="21" spans="2:8" ht="17" hidden="1" outlineLevel="1" thickBot="1" x14ac:dyDescent="0.25">
      <c r="B21" s="6" t="s">
        <v>165</v>
      </c>
      <c r="C21" s="6" t="s">
        <v>166</v>
      </c>
      <c r="D21" s="6">
        <v>120</v>
      </c>
      <c r="E21" s="6">
        <v>450.00000000000017</v>
      </c>
      <c r="F21" s="6">
        <v>120</v>
      </c>
      <c r="G21" s="6">
        <v>13.333333333333362</v>
      </c>
      <c r="H21" s="6">
        <v>120</v>
      </c>
    </row>
    <row r="22" spans="2:8" collapsed="1" x14ac:dyDescent="0.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D756-47BE-4446-A160-F406D4E50345}">
  <dimension ref="A1:G5"/>
  <sheetViews>
    <sheetView workbookViewId="0">
      <selection activeCell="J23" sqref="J23"/>
    </sheetView>
  </sheetViews>
  <sheetFormatPr baseColWidth="10" defaultRowHeight="16" x14ac:dyDescent="0.2"/>
  <cols>
    <col min="1" max="1" width="25.33203125" bestFit="1" customWidth="1"/>
    <col min="2" max="5" width="12.1640625" bestFit="1" customWidth="1"/>
    <col min="6" max="6" width="21" bestFit="1" customWidth="1"/>
    <col min="7" max="7" width="27" bestFit="1" customWidth="1"/>
  </cols>
  <sheetData>
    <row r="1" spans="1:7" ht="20" x14ac:dyDescent="0.2">
      <c r="A1" s="13" t="s">
        <v>0</v>
      </c>
      <c r="B1" s="14" t="s">
        <v>172</v>
      </c>
      <c r="C1" s="14" t="s">
        <v>173</v>
      </c>
      <c r="D1" s="14" t="s">
        <v>174</v>
      </c>
      <c r="E1" s="14" t="s">
        <v>175</v>
      </c>
      <c r="F1" s="14" t="s">
        <v>1</v>
      </c>
      <c r="G1" s="14" t="s">
        <v>176</v>
      </c>
    </row>
    <row r="2" spans="1:7" ht="20" x14ac:dyDescent="0.2">
      <c r="A2" s="13" t="s">
        <v>177</v>
      </c>
      <c r="B2" s="14">
        <v>0</v>
      </c>
      <c r="C2" s="14">
        <v>0</v>
      </c>
      <c r="D2" s="14">
        <v>0</v>
      </c>
      <c r="E2" s="14">
        <v>1800.0000000000002</v>
      </c>
      <c r="F2" s="14"/>
      <c r="G2" s="14"/>
    </row>
    <row r="3" spans="1:7" ht="20" x14ac:dyDescent="0.2">
      <c r="A3" s="13" t="s">
        <v>178</v>
      </c>
      <c r="B3" s="14">
        <v>0.6</v>
      </c>
      <c r="C3" s="14">
        <v>0.8</v>
      </c>
      <c r="D3" s="14">
        <v>0.6</v>
      </c>
      <c r="E3" s="14">
        <v>0.4</v>
      </c>
      <c r="F3" s="14">
        <f>SUMPRODUCT(B2:E2,B3:E3)</f>
        <v>720.00000000000011</v>
      </c>
      <c r="G3" s="14">
        <v>840</v>
      </c>
    </row>
    <row r="4" spans="1:7" ht="20" x14ac:dyDescent="0.2">
      <c r="A4" s="13" t="s">
        <v>179</v>
      </c>
      <c r="B4" s="14">
        <v>0.1</v>
      </c>
      <c r="C4" s="14">
        <v>0.2</v>
      </c>
      <c r="D4" s="14">
        <v>0.4</v>
      </c>
      <c r="E4" s="14">
        <v>0.1</v>
      </c>
      <c r="F4" s="14">
        <f>SUMPRODUCT(B2:E2,B4:E4)</f>
        <v>180.00000000000003</v>
      </c>
      <c r="G4" s="14">
        <v>180</v>
      </c>
    </row>
    <row r="5" spans="1:7" ht="20" x14ac:dyDescent="0.2">
      <c r="A5" s="13" t="s">
        <v>7</v>
      </c>
      <c r="B5" s="14">
        <v>50</v>
      </c>
      <c r="C5" s="14">
        <v>80</v>
      </c>
      <c r="D5" s="14">
        <v>70</v>
      </c>
      <c r="E5" s="14">
        <v>90</v>
      </c>
      <c r="F5" s="14">
        <f>SUMPRODUCT(B2:E2,B5:E5)</f>
        <v>162000.00000000003</v>
      </c>
      <c r="G5" s="1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E159-A502-4F4B-81C2-0C868BBD96F1}">
  <dimension ref="A1:G38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26.332031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7.5" bestFit="1" customWidth="1"/>
  </cols>
  <sheetData>
    <row r="1" spans="1:5" x14ac:dyDescent="0.2">
      <c r="A1" s="5" t="s">
        <v>11</v>
      </c>
    </row>
    <row r="2" spans="1:5" x14ac:dyDescent="0.2">
      <c r="A2" s="5" t="s">
        <v>180</v>
      </c>
    </row>
    <row r="3" spans="1:5" x14ac:dyDescent="0.2">
      <c r="A3" s="5" t="s">
        <v>181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182</v>
      </c>
    </row>
    <row r="8" spans="1:5" hidden="1" outlineLevel="1" x14ac:dyDescent="0.2">
      <c r="A8" s="5"/>
      <c r="B8" t="s">
        <v>18</v>
      </c>
    </row>
    <row r="9" spans="1:5" collapsed="1" x14ac:dyDescent="0.2">
      <c r="A9" s="5" t="s">
        <v>19</v>
      </c>
    </row>
    <row r="10" spans="1:5" hidden="1" outlineLevel="1" x14ac:dyDescent="0.2">
      <c r="B10" t="s">
        <v>183</v>
      </c>
    </row>
    <row r="11" spans="1:5" hidden="1" outlineLevel="1" x14ac:dyDescent="0.2">
      <c r="B11" t="s">
        <v>184</v>
      </c>
    </row>
    <row r="12" spans="1:5" collapsed="1" x14ac:dyDescent="0.2"/>
    <row r="14" spans="1:5" ht="17" thickBot="1" x14ac:dyDescent="0.25">
      <c r="A14" t="s">
        <v>22</v>
      </c>
    </row>
    <row r="15" spans="1:5" ht="17" thickBot="1" x14ac:dyDescent="0.25">
      <c r="B15" s="7" t="s">
        <v>23</v>
      </c>
      <c r="C15" s="7" t="s">
        <v>24</v>
      </c>
      <c r="D15" s="7" t="s">
        <v>25</v>
      </c>
      <c r="E15" s="7" t="s">
        <v>26</v>
      </c>
    </row>
    <row r="16" spans="1:5" ht="17" thickBot="1" x14ac:dyDescent="0.25">
      <c r="B16" s="6" t="s">
        <v>185</v>
      </c>
      <c r="C16" s="6" t="s">
        <v>35</v>
      </c>
      <c r="D16" s="6">
        <v>0</v>
      </c>
      <c r="E16" s="6">
        <v>162000.00000000003</v>
      </c>
    </row>
    <row r="19" spans="1:7" ht="17" thickBot="1" x14ac:dyDescent="0.25">
      <c r="A19" t="s">
        <v>27</v>
      </c>
    </row>
    <row r="20" spans="1:7" ht="17" thickBot="1" x14ac:dyDescent="0.25">
      <c r="B20" s="7" t="s">
        <v>23</v>
      </c>
      <c r="C20" s="7" t="s">
        <v>24</v>
      </c>
      <c r="D20" s="7" t="s">
        <v>25</v>
      </c>
      <c r="E20" s="7" t="s">
        <v>26</v>
      </c>
      <c r="F20" s="7" t="s">
        <v>28</v>
      </c>
    </row>
    <row r="21" spans="1:7" x14ac:dyDescent="0.2">
      <c r="B21" s="10" t="s">
        <v>196</v>
      </c>
      <c r="C21" s="9"/>
      <c r="D21" s="9"/>
      <c r="E21" s="9"/>
      <c r="F21" s="9"/>
    </row>
    <row r="22" spans="1:7" hidden="1" outlineLevel="1" x14ac:dyDescent="0.2">
      <c r="B22" s="8" t="s">
        <v>36</v>
      </c>
      <c r="C22" s="8" t="s">
        <v>186</v>
      </c>
      <c r="D22" s="8">
        <v>0</v>
      </c>
      <c r="E22" s="8">
        <v>0</v>
      </c>
      <c r="F22" s="8" t="s">
        <v>38</v>
      </c>
    </row>
    <row r="23" spans="1:7" hidden="1" outlineLevel="1" x14ac:dyDescent="0.2">
      <c r="B23" s="8" t="s">
        <v>39</v>
      </c>
      <c r="C23" s="8" t="s">
        <v>187</v>
      </c>
      <c r="D23" s="8">
        <v>0</v>
      </c>
      <c r="E23" s="8">
        <v>0</v>
      </c>
      <c r="F23" s="8" t="s">
        <v>38</v>
      </c>
    </row>
    <row r="24" spans="1:7" hidden="1" outlineLevel="1" x14ac:dyDescent="0.2">
      <c r="B24" s="8" t="s">
        <v>108</v>
      </c>
      <c r="C24" s="8" t="s">
        <v>188</v>
      </c>
      <c r="D24" s="8">
        <v>0</v>
      </c>
      <c r="E24" s="8">
        <v>0</v>
      </c>
      <c r="F24" s="8" t="s">
        <v>38</v>
      </c>
    </row>
    <row r="25" spans="1:7" ht="17" hidden="1" outlineLevel="1" thickBot="1" x14ac:dyDescent="0.25">
      <c r="B25" s="6" t="s">
        <v>110</v>
      </c>
      <c r="C25" s="6" t="s">
        <v>189</v>
      </c>
      <c r="D25" s="6">
        <v>0</v>
      </c>
      <c r="E25" s="6">
        <v>1800.0000000000002</v>
      </c>
      <c r="F25" s="6" t="s">
        <v>38</v>
      </c>
    </row>
    <row r="26" spans="1:7" collapsed="1" x14ac:dyDescent="0.2"/>
    <row r="29" spans="1:7" ht="17" thickBot="1" x14ac:dyDescent="0.25">
      <c r="A29" t="s">
        <v>29</v>
      </c>
    </row>
    <row r="30" spans="1:7" ht="17" thickBot="1" x14ac:dyDescent="0.25">
      <c r="B30" s="7" t="s">
        <v>23</v>
      </c>
      <c r="C30" s="7" t="s">
        <v>24</v>
      </c>
      <c r="D30" s="7" t="s">
        <v>30</v>
      </c>
      <c r="E30" s="7" t="s">
        <v>31</v>
      </c>
      <c r="F30" s="7" t="s">
        <v>32</v>
      </c>
      <c r="G30" s="7" t="s">
        <v>33</v>
      </c>
    </row>
    <row r="31" spans="1:7" x14ac:dyDescent="0.2">
      <c r="B31" s="8" t="s">
        <v>190</v>
      </c>
      <c r="C31" s="8" t="s">
        <v>191</v>
      </c>
      <c r="D31" s="8">
        <v>720.00000000000011</v>
      </c>
      <c r="E31" s="8" t="s">
        <v>192</v>
      </c>
      <c r="F31" s="8" t="s">
        <v>44</v>
      </c>
      <c r="G31" s="8">
        <v>119.99999999999989</v>
      </c>
    </row>
    <row r="32" spans="1:7" x14ac:dyDescent="0.2">
      <c r="B32" s="8" t="s">
        <v>193</v>
      </c>
      <c r="C32" s="8" t="s">
        <v>194</v>
      </c>
      <c r="D32" s="8">
        <v>180.00000000000003</v>
      </c>
      <c r="E32" s="8" t="s">
        <v>195</v>
      </c>
      <c r="F32" s="8" t="s">
        <v>48</v>
      </c>
      <c r="G32" s="8">
        <v>0</v>
      </c>
    </row>
    <row r="33" spans="2:7" x14ac:dyDescent="0.2">
      <c r="B33" s="16" t="s">
        <v>197</v>
      </c>
      <c r="C33" s="8"/>
      <c r="D33" s="8"/>
      <c r="E33" s="8"/>
      <c r="F33" s="8"/>
      <c r="G33" s="8"/>
    </row>
    <row r="34" spans="2:7" hidden="1" outlineLevel="1" x14ac:dyDescent="0.2">
      <c r="B34" s="8" t="s">
        <v>36</v>
      </c>
      <c r="C34" s="8" t="s">
        <v>186</v>
      </c>
      <c r="D34" s="8">
        <v>0</v>
      </c>
      <c r="E34" s="8" t="s">
        <v>52</v>
      </c>
      <c r="F34" s="8" t="s">
        <v>48</v>
      </c>
      <c r="G34" s="8">
        <v>0</v>
      </c>
    </row>
    <row r="35" spans="2:7" hidden="1" outlineLevel="1" x14ac:dyDescent="0.2">
      <c r="B35" s="8" t="s">
        <v>39</v>
      </c>
      <c r="C35" s="8" t="s">
        <v>187</v>
      </c>
      <c r="D35" s="8">
        <v>0</v>
      </c>
      <c r="E35" s="8" t="s">
        <v>53</v>
      </c>
      <c r="F35" s="8" t="s">
        <v>48</v>
      </c>
      <c r="G35" s="8">
        <v>0</v>
      </c>
    </row>
    <row r="36" spans="2:7" hidden="1" outlineLevel="1" x14ac:dyDescent="0.2">
      <c r="B36" s="8" t="s">
        <v>108</v>
      </c>
      <c r="C36" s="8" t="s">
        <v>188</v>
      </c>
      <c r="D36" s="8">
        <v>0</v>
      </c>
      <c r="E36" s="8" t="s">
        <v>126</v>
      </c>
      <c r="F36" s="8" t="s">
        <v>48</v>
      </c>
      <c r="G36" s="8">
        <v>0</v>
      </c>
    </row>
    <row r="37" spans="2:7" ht="17" hidden="1" outlineLevel="1" thickBot="1" x14ac:dyDescent="0.25">
      <c r="B37" s="6" t="s">
        <v>110</v>
      </c>
      <c r="C37" s="6" t="s">
        <v>189</v>
      </c>
      <c r="D37" s="6">
        <v>1800.0000000000002</v>
      </c>
      <c r="E37" s="6" t="s">
        <v>127</v>
      </c>
      <c r="F37" s="6" t="s">
        <v>44</v>
      </c>
      <c r="G37" s="6">
        <v>1800.0000000000002</v>
      </c>
    </row>
    <row r="38" spans="2:7" collapsed="1" x14ac:dyDescent="0.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3D29-72CA-BA4B-AF6B-4A90787FDEC9}">
  <dimension ref="A1:H20"/>
  <sheetViews>
    <sheetView showGridLines="0" workbookViewId="0">
      <selection activeCell="F22" sqref="F22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26.33203125" bestFit="1" customWidth="1"/>
    <col min="4" max="4" width="14.5" bestFit="1" customWidth="1"/>
    <col min="5" max="5" width="11.5" bestFit="1" customWidth="1"/>
    <col min="6" max="6" width="16.5" bestFit="1" customWidth="1"/>
    <col min="7" max="7" width="11.6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180</v>
      </c>
    </row>
    <row r="3" spans="1:8" x14ac:dyDescent="0.2">
      <c r="A3" s="5" t="s">
        <v>181</v>
      </c>
    </row>
    <row r="6" spans="1:8" ht="17" thickBot="1" x14ac:dyDescent="0.25">
      <c r="A6" t="s">
        <v>27</v>
      </c>
    </row>
    <row r="7" spans="1:8" x14ac:dyDescent="0.2">
      <c r="B7" s="11"/>
      <c r="C7" s="11"/>
      <c r="D7" s="11" t="s">
        <v>56</v>
      </c>
      <c r="E7" s="11" t="s">
        <v>58</v>
      </c>
      <c r="F7" s="11" t="s">
        <v>60</v>
      </c>
      <c r="G7" s="11" t="s">
        <v>62</v>
      </c>
      <c r="H7" s="11" t="s">
        <v>62</v>
      </c>
    </row>
    <row r="8" spans="1:8" ht="17" thickBot="1" x14ac:dyDescent="0.25">
      <c r="B8" s="12" t="s">
        <v>23</v>
      </c>
      <c r="C8" s="12" t="s">
        <v>24</v>
      </c>
      <c r="D8" s="12" t="s">
        <v>57</v>
      </c>
      <c r="E8" s="12" t="s">
        <v>59</v>
      </c>
      <c r="F8" s="12" t="s">
        <v>61</v>
      </c>
      <c r="G8" s="12" t="s">
        <v>63</v>
      </c>
      <c r="H8" s="12" t="s">
        <v>64</v>
      </c>
    </row>
    <row r="9" spans="1:8" x14ac:dyDescent="0.2">
      <c r="B9" s="10" t="s">
        <v>196</v>
      </c>
      <c r="C9" s="9"/>
      <c r="D9" s="9"/>
      <c r="E9" s="9"/>
      <c r="F9" s="9"/>
      <c r="G9" s="9"/>
      <c r="H9" s="9"/>
    </row>
    <row r="10" spans="1:8" hidden="1" outlineLevel="1" x14ac:dyDescent="0.2">
      <c r="B10" s="8" t="s">
        <v>36</v>
      </c>
      <c r="C10" s="8" t="s">
        <v>186</v>
      </c>
      <c r="D10" s="8">
        <v>0</v>
      </c>
      <c r="E10" s="8">
        <v>-40.000000000000021</v>
      </c>
      <c r="F10" s="8">
        <v>50</v>
      </c>
      <c r="G10" s="8">
        <v>40.000000000000021</v>
      </c>
      <c r="H10" s="8">
        <v>1E+30</v>
      </c>
    </row>
    <row r="11" spans="1:8" hidden="1" outlineLevel="1" x14ac:dyDescent="0.2">
      <c r="B11" s="8" t="s">
        <v>39</v>
      </c>
      <c r="C11" s="8" t="s">
        <v>187</v>
      </c>
      <c r="D11" s="8">
        <v>0</v>
      </c>
      <c r="E11" s="8">
        <v>-100.00000000000009</v>
      </c>
      <c r="F11" s="8">
        <v>80</v>
      </c>
      <c r="G11" s="8">
        <v>100.00000000000009</v>
      </c>
      <c r="H11" s="8">
        <v>1E+30</v>
      </c>
    </row>
    <row r="12" spans="1:8" hidden="1" outlineLevel="1" x14ac:dyDescent="0.2">
      <c r="B12" s="8" t="s">
        <v>108</v>
      </c>
      <c r="C12" s="8" t="s">
        <v>188</v>
      </c>
      <c r="D12" s="8">
        <v>0</v>
      </c>
      <c r="E12" s="8">
        <v>-290.00000000000006</v>
      </c>
      <c r="F12" s="8">
        <v>70</v>
      </c>
      <c r="G12" s="8">
        <v>290.00000000000006</v>
      </c>
      <c r="H12" s="8">
        <v>1E+30</v>
      </c>
    </row>
    <row r="13" spans="1:8" ht="17" hidden="1" outlineLevel="1" thickBot="1" x14ac:dyDescent="0.25">
      <c r="B13" s="6" t="s">
        <v>110</v>
      </c>
      <c r="C13" s="6" t="s">
        <v>189</v>
      </c>
      <c r="D13" s="6">
        <v>1800.0000000000002</v>
      </c>
      <c r="E13" s="6">
        <v>0</v>
      </c>
      <c r="F13" s="6">
        <v>90</v>
      </c>
      <c r="G13" s="6">
        <v>1E+30</v>
      </c>
      <c r="H13" s="6">
        <v>40.000000000000014</v>
      </c>
    </row>
    <row r="14" spans="1:8" collapsed="1" x14ac:dyDescent="0.2"/>
    <row r="16" spans="1:8" ht="17" thickBot="1" x14ac:dyDescent="0.25">
      <c r="A16" t="s">
        <v>29</v>
      </c>
    </row>
    <row r="17" spans="2:8" x14ac:dyDescent="0.2">
      <c r="B17" s="11"/>
      <c r="C17" s="11"/>
      <c r="D17" s="11" t="s">
        <v>56</v>
      </c>
      <c r="E17" s="11" t="s">
        <v>65</v>
      </c>
      <c r="F17" s="11" t="s">
        <v>67</v>
      </c>
      <c r="G17" s="11" t="s">
        <v>62</v>
      </c>
      <c r="H17" s="11" t="s">
        <v>62</v>
      </c>
    </row>
    <row r="18" spans="2:8" ht="17" thickBot="1" x14ac:dyDescent="0.25">
      <c r="B18" s="12" t="s">
        <v>23</v>
      </c>
      <c r="C18" s="12" t="s">
        <v>24</v>
      </c>
      <c r="D18" s="12" t="s">
        <v>57</v>
      </c>
      <c r="E18" s="12" t="s">
        <v>66</v>
      </c>
      <c r="F18" s="12" t="s">
        <v>68</v>
      </c>
      <c r="G18" s="12" t="s">
        <v>63</v>
      </c>
      <c r="H18" s="12" t="s">
        <v>64</v>
      </c>
    </row>
    <row r="19" spans="2:8" x14ac:dyDescent="0.2">
      <c r="B19" s="8" t="s">
        <v>190</v>
      </c>
      <c r="C19" s="8" t="s">
        <v>191</v>
      </c>
      <c r="D19" s="8">
        <v>720.00000000000011</v>
      </c>
      <c r="E19" s="8">
        <v>0</v>
      </c>
      <c r="F19" s="8">
        <v>840</v>
      </c>
      <c r="G19" s="8">
        <v>1E+30</v>
      </c>
      <c r="H19" s="8">
        <v>120.00000000000007</v>
      </c>
    </row>
    <row r="20" spans="2:8" ht="17" thickBot="1" x14ac:dyDescent="0.25">
      <c r="B20" s="6" t="s">
        <v>193</v>
      </c>
      <c r="C20" s="6" t="s">
        <v>194</v>
      </c>
      <c r="D20" s="6">
        <v>180.00000000000003</v>
      </c>
      <c r="E20" s="6">
        <v>900.00000000000011</v>
      </c>
      <c r="F20" s="6">
        <v>180</v>
      </c>
      <c r="G20" s="6">
        <v>30.000000000000018</v>
      </c>
      <c r="H20" s="6">
        <v>180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7A80-79B7-7C41-9D52-B2152A5E3B90}">
  <dimension ref="A1:G6"/>
  <sheetViews>
    <sheetView workbookViewId="0">
      <selection activeCell="H21" sqref="H21"/>
    </sheetView>
  </sheetViews>
  <sheetFormatPr baseColWidth="10" defaultRowHeight="16" x14ac:dyDescent="0.2"/>
  <cols>
    <col min="1" max="1" width="23.1640625" bestFit="1" customWidth="1"/>
    <col min="2" max="5" width="12" bestFit="1" customWidth="1"/>
    <col min="6" max="6" width="19.1640625" bestFit="1" customWidth="1"/>
    <col min="7" max="7" width="22.1640625" bestFit="1" customWidth="1"/>
  </cols>
  <sheetData>
    <row r="1" spans="1:7" ht="20" x14ac:dyDescent="0.2">
      <c r="A1" s="15" t="s">
        <v>198</v>
      </c>
      <c r="B1" s="14" t="s">
        <v>199</v>
      </c>
      <c r="C1" s="14" t="s">
        <v>200</v>
      </c>
      <c r="D1" s="14" t="s">
        <v>201</v>
      </c>
      <c r="E1" s="14" t="s">
        <v>202</v>
      </c>
      <c r="F1" s="14" t="s">
        <v>203</v>
      </c>
      <c r="G1" s="14" t="s">
        <v>204</v>
      </c>
    </row>
    <row r="2" spans="1:7" ht="20" x14ac:dyDescent="0.2">
      <c r="A2" s="15" t="s">
        <v>205</v>
      </c>
      <c r="B2" s="14">
        <v>15.000000000000002</v>
      </c>
      <c r="C2" s="14">
        <v>4.5</v>
      </c>
      <c r="D2" s="14">
        <v>0</v>
      </c>
      <c r="E2" s="14">
        <v>0</v>
      </c>
      <c r="F2" s="14"/>
      <c r="G2" s="14"/>
    </row>
    <row r="3" spans="1:7" ht="20" x14ac:dyDescent="0.2">
      <c r="A3" s="15" t="s">
        <v>206</v>
      </c>
      <c r="B3" s="14">
        <v>1</v>
      </c>
      <c r="C3" s="14">
        <v>1</v>
      </c>
      <c r="D3" s="14">
        <v>0</v>
      </c>
      <c r="E3" s="14">
        <v>4</v>
      </c>
      <c r="F3" s="14">
        <f>SUMPRODUCT($B$2:$E$2,B3:E3)</f>
        <v>19.5</v>
      </c>
      <c r="G3" s="14">
        <v>26</v>
      </c>
    </row>
    <row r="4" spans="1:7" ht="20" x14ac:dyDescent="0.2">
      <c r="A4" s="15" t="s">
        <v>207</v>
      </c>
      <c r="B4" s="14">
        <v>2</v>
      </c>
      <c r="C4" s="14">
        <v>0</v>
      </c>
      <c r="D4" s="14">
        <v>3</v>
      </c>
      <c r="E4" s="14">
        <v>5</v>
      </c>
      <c r="F4" s="14">
        <f>SUMPRODUCT($B$2:$E$2,B4:E4)</f>
        <v>30.000000000000004</v>
      </c>
      <c r="G4" s="14">
        <v>30</v>
      </c>
    </row>
    <row r="5" spans="1:7" ht="20" x14ac:dyDescent="0.2">
      <c r="A5" s="15" t="s">
        <v>208</v>
      </c>
      <c r="B5" s="14">
        <v>1</v>
      </c>
      <c r="C5" s="14">
        <v>2</v>
      </c>
      <c r="D5" s="14">
        <v>4</v>
      </c>
      <c r="E5" s="14">
        <v>6</v>
      </c>
      <c r="F5" s="14">
        <f>SUMPRODUCT($B$2:$E$2,B5:E5)</f>
        <v>24</v>
      </c>
      <c r="G5" s="14">
        <v>24</v>
      </c>
    </row>
    <row r="6" spans="1:7" ht="20" x14ac:dyDescent="0.2">
      <c r="A6" s="15" t="s">
        <v>101</v>
      </c>
      <c r="B6" s="14">
        <v>50</v>
      </c>
      <c r="C6" s="14">
        <v>60</v>
      </c>
      <c r="D6" s="14">
        <v>70</v>
      </c>
      <c r="E6" s="14">
        <v>40</v>
      </c>
      <c r="F6" s="14">
        <f>SUMPRODUCT($B$2:$E$2,B6:E6)</f>
        <v>1020.0000000000001</v>
      </c>
      <c r="G6" s="1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FA78-A112-104F-98A7-606DFC1B3B03}">
  <dimension ref="A1:G41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23.332031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7.5" bestFit="1" customWidth="1"/>
  </cols>
  <sheetData>
    <row r="1" spans="1:5" x14ac:dyDescent="0.2">
      <c r="A1" s="5" t="s">
        <v>11</v>
      </c>
    </row>
    <row r="2" spans="1:5" x14ac:dyDescent="0.2">
      <c r="A2" s="5" t="s">
        <v>209</v>
      </c>
    </row>
    <row r="3" spans="1:5" x14ac:dyDescent="0.2">
      <c r="A3" s="5" t="s">
        <v>210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211</v>
      </c>
    </row>
    <row r="8" spans="1:5" hidden="1" outlineLevel="1" x14ac:dyDescent="0.2">
      <c r="A8" s="5"/>
      <c r="B8" t="s">
        <v>212</v>
      </c>
    </row>
    <row r="9" spans="1:5" collapsed="1" x14ac:dyDescent="0.2">
      <c r="A9" s="5" t="s">
        <v>19</v>
      </c>
    </row>
    <row r="10" spans="1:5" hidden="1" outlineLevel="1" x14ac:dyDescent="0.2">
      <c r="B10" t="s">
        <v>213</v>
      </c>
    </row>
    <row r="11" spans="1:5" hidden="1" outlineLevel="1" x14ac:dyDescent="0.2">
      <c r="B11" t="s">
        <v>21</v>
      </c>
    </row>
    <row r="12" spans="1:5" collapsed="1" x14ac:dyDescent="0.2"/>
    <row r="14" spans="1:5" ht="17" thickBot="1" x14ac:dyDescent="0.25">
      <c r="A14" t="s">
        <v>22</v>
      </c>
    </row>
    <row r="15" spans="1:5" ht="17" thickBot="1" x14ac:dyDescent="0.25">
      <c r="B15" s="19" t="s">
        <v>23</v>
      </c>
      <c r="C15" s="19" t="s">
        <v>24</v>
      </c>
      <c r="D15" s="19" t="s">
        <v>25</v>
      </c>
      <c r="E15" s="19" t="s">
        <v>26</v>
      </c>
    </row>
    <row r="16" spans="1:5" ht="17" thickBot="1" x14ac:dyDescent="0.25">
      <c r="B16" s="18" t="s">
        <v>214</v>
      </c>
      <c r="C16" s="18" t="s">
        <v>215</v>
      </c>
      <c r="D16" s="22">
        <v>0</v>
      </c>
      <c r="E16" s="22">
        <v>1020.0000000000001</v>
      </c>
    </row>
    <row r="19" spans="1:7" ht="17" thickBot="1" x14ac:dyDescent="0.25">
      <c r="A19" t="s">
        <v>27</v>
      </c>
    </row>
    <row r="20" spans="1:7" ht="17" thickBot="1" x14ac:dyDescent="0.25">
      <c r="B20" s="19" t="s">
        <v>23</v>
      </c>
      <c r="C20" s="19" t="s">
        <v>24</v>
      </c>
      <c r="D20" s="19" t="s">
        <v>25</v>
      </c>
      <c r="E20" s="19" t="s">
        <v>26</v>
      </c>
      <c r="F20" s="19" t="s">
        <v>28</v>
      </c>
    </row>
    <row r="21" spans="1:7" x14ac:dyDescent="0.2">
      <c r="B21" s="26" t="s">
        <v>196</v>
      </c>
      <c r="C21" s="25"/>
      <c r="D21" s="25"/>
      <c r="E21" s="25"/>
      <c r="F21" s="25"/>
    </row>
    <row r="22" spans="1:7" hidden="1" outlineLevel="1" x14ac:dyDescent="0.2">
      <c r="B22" s="21" t="s">
        <v>36</v>
      </c>
      <c r="C22" s="21" t="s">
        <v>216</v>
      </c>
      <c r="D22" s="23">
        <v>0</v>
      </c>
      <c r="E22" s="23">
        <v>15.000000000000002</v>
      </c>
      <c r="F22" s="21" t="s">
        <v>38</v>
      </c>
    </row>
    <row r="23" spans="1:7" hidden="1" outlineLevel="1" x14ac:dyDescent="0.2">
      <c r="B23" s="21" t="s">
        <v>39</v>
      </c>
      <c r="C23" s="21" t="s">
        <v>217</v>
      </c>
      <c r="D23" s="23">
        <v>0</v>
      </c>
      <c r="E23" s="23">
        <v>4.5</v>
      </c>
      <c r="F23" s="21" t="s">
        <v>38</v>
      </c>
    </row>
    <row r="24" spans="1:7" hidden="1" outlineLevel="1" x14ac:dyDescent="0.2">
      <c r="B24" s="21" t="s">
        <v>108</v>
      </c>
      <c r="C24" s="21" t="s">
        <v>218</v>
      </c>
      <c r="D24" s="23">
        <v>0</v>
      </c>
      <c r="E24" s="23">
        <v>0</v>
      </c>
      <c r="F24" s="21" t="s">
        <v>38</v>
      </c>
    </row>
    <row r="25" spans="1:7" ht="17" hidden="1" outlineLevel="1" thickBot="1" x14ac:dyDescent="0.25">
      <c r="B25" s="18" t="s">
        <v>110</v>
      </c>
      <c r="C25" s="18" t="s">
        <v>219</v>
      </c>
      <c r="D25" s="22">
        <v>0</v>
      </c>
      <c r="E25" s="22">
        <v>0</v>
      </c>
      <c r="F25" s="18" t="s">
        <v>38</v>
      </c>
    </row>
    <row r="26" spans="1:7" collapsed="1" x14ac:dyDescent="0.2">
      <c r="B26" s="20"/>
      <c r="C26" s="20"/>
      <c r="D26" s="24"/>
      <c r="E26" s="24"/>
      <c r="F26" s="20"/>
    </row>
    <row r="29" spans="1:7" ht="17" thickBot="1" x14ac:dyDescent="0.25">
      <c r="A29" t="s">
        <v>29</v>
      </c>
    </row>
    <row r="30" spans="1:7" ht="17" thickBot="1" x14ac:dyDescent="0.25">
      <c r="B30" s="19" t="s">
        <v>23</v>
      </c>
      <c r="C30" s="19" t="s">
        <v>24</v>
      </c>
      <c r="D30" s="19" t="s">
        <v>30</v>
      </c>
      <c r="E30" s="19" t="s">
        <v>31</v>
      </c>
      <c r="F30" s="19" t="s">
        <v>32</v>
      </c>
      <c r="G30" s="19" t="s">
        <v>33</v>
      </c>
    </row>
    <row r="31" spans="1:7" x14ac:dyDescent="0.2">
      <c r="B31" s="26" t="s">
        <v>224</v>
      </c>
      <c r="C31" s="25"/>
      <c r="D31" s="25"/>
      <c r="E31" s="25"/>
      <c r="F31" s="25"/>
      <c r="G31" s="25"/>
    </row>
    <row r="32" spans="1:7" hidden="1" outlineLevel="1" x14ac:dyDescent="0.2">
      <c r="B32" s="21" t="s">
        <v>190</v>
      </c>
      <c r="C32" s="21" t="s">
        <v>220</v>
      </c>
      <c r="D32" s="23">
        <v>19.5</v>
      </c>
      <c r="E32" s="21" t="s">
        <v>192</v>
      </c>
      <c r="F32" s="21" t="s">
        <v>44</v>
      </c>
      <c r="G32" s="21">
        <v>6.5</v>
      </c>
    </row>
    <row r="33" spans="2:7" hidden="1" outlineLevel="1" x14ac:dyDescent="0.2">
      <c r="B33" s="21" t="s">
        <v>193</v>
      </c>
      <c r="C33" s="21" t="s">
        <v>221</v>
      </c>
      <c r="D33" s="23">
        <v>30.000000000000004</v>
      </c>
      <c r="E33" s="21" t="s">
        <v>195</v>
      </c>
      <c r="F33" s="21" t="s">
        <v>48</v>
      </c>
      <c r="G33" s="21">
        <v>0</v>
      </c>
    </row>
    <row r="34" spans="2:7" hidden="1" outlineLevel="1" x14ac:dyDescent="0.2">
      <c r="B34" s="21" t="s">
        <v>185</v>
      </c>
      <c r="C34" s="21" t="s">
        <v>222</v>
      </c>
      <c r="D34" s="23">
        <v>24</v>
      </c>
      <c r="E34" s="21" t="s">
        <v>223</v>
      </c>
      <c r="F34" s="21" t="s">
        <v>48</v>
      </c>
      <c r="G34" s="21">
        <v>0</v>
      </c>
    </row>
    <row r="35" spans="2:7" collapsed="1" x14ac:dyDescent="0.2">
      <c r="B35" s="21"/>
      <c r="C35" s="21"/>
      <c r="D35" s="23"/>
      <c r="E35" s="21"/>
      <c r="F35" s="21"/>
      <c r="G35" s="21"/>
    </row>
    <row r="36" spans="2:7" x14ac:dyDescent="0.2">
      <c r="B36" s="27" t="s">
        <v>197</v>
      </c>
      <c r="C36" s="21"/>
      <c r="D36" s="23"/>
      <c r="E36" s="21"/>
      <c r="F36" s="21"/>
      <c r="G36" s="21"/>
    </row>
    <row r="37" spans="2:7" hidden="1" outlineLevel="1" x14ac:dyDescent="0.2">
      <c r="B37" s="21" t="s">
        <v>36</v>
      </c>
      <c r="C37" s="21" t="s">
        <v>216</v>
      </c>
      <c r="D37" s="23">
        <v>15.000000000000002</v>
      </c>
      <c r="E37" s="21" t="s">
        <v>52</v>
      </c>
      <c r="F37" s="21" t="s">
        <v>44</v>
      </c>
      <c r="G37" s="23">
        <v>15.000000000000002</v>
      </c>
    </row>
    <row r="38" spans="2:7" hidden="1" outlineLevel="1" x14ac:dyDescent="0.2">
      <c r="B38" s="21" t="s">
        <v>39</v>
      </c>
      <c r="C38" s="21" t="s">
        <v>217</v>
      </c>
      <c r="D38" s="23">
        <v>4.5</v>
      </c>
      <c r="E38" s="21" t="s">
        <v>53</v>
      </c>
      <c r="F38" s="21" t="s">
        <v>44</v>
      </c>
      <c r="G38" s="23">
        <v>4.5</v>
      </c>
    </row>
    <row r="39" spans="2:7" hidden="1" outlineLevel="1" x14ac:dyDescent="0.2">
      <c r="B39" s="21" t="s">
        <v>108</v>
      </c>
      <c r="C39" s="21" t="s">
        <v>218</v>
      </c>
      <c r="D39" s="23">
        <v>0</v>
      </c>
      <c r="E39" s="21" t="s">
        <v>126</v>
      </c>
      <c r="F39" s="21" t="s">
        <v>48</v>
      </c>
      <c r="G39" s="23">
        <v>0</v>
      </c>
    </row>
    <row r="40" spans="2:7" ht="17" hidden="1" outlineLevel="1" thickBot="1" x14ac:dyDescent="0.25">
      <c r="B40" s="18" t="s">
        <v>110</v>
      </c>
      <c r="C40" s="18" t="s">
        <v>219</v>
      </c>
      <c r="D40" s="22">
        <v>0</v>
      </c>
      <c r="E40" s="18" t="s">
        <v>127</v>
      </c>
      <c r="F40" s="18" t="s">
        <v>48</v>
      </c>
      <c r="G40" s="22">
        <v>0</v>
      </c>
    </row>
    <row r="41" spans="2:7" collapsed="1" x14ac:dyDescent="0.2">
      <c r="B41" s="20"/>
      <c r="C41" s="20"/>
      <c r="D41" s="24"/>
      <c r="E41" s="20"/>
      <c r="F41" s="20"/>
      <c r="G41" s="2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13CB-531F-6B4F-86C3-1FE50B396E0C}">
  <dimension ref="A1:H23"/>
  <sheetViews>
    <sheetView showGridLines="0" workbookViewId="0">
      <selection activeCell="L33" sqref="L33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23.33203125" bestFit="1" customWidth="1"/>
    <col min="4" max="4" width="14.5" bestFit="1" customWidth="1"/>
    <col min="5" max="5" width="11.5" bestFit="1" customWidth="1"/>
    <col min="6" max="6" width="16.5" bestFit="1" customWidth="1"/>
    <col min="7" max="7" width="11.6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209</v>
      </c>
    </row>
    <row r="3" spans="1:8" x14ac:dyDescent="0.2">
      <c r="A3" s="5" t="s">
        <v>210</v>
      </c>
    </row>
    <row r="6" spans="1:8" ht="17" thickBot="1" x14ac:dyDescent="0.25">
      <c r="A6" t="s">
        <v>27</v>
      </c>
    </row>
    <row r="7" spans="1:8" x14ac:dyDescent="0.2">
      <c r="B7" s="28"/>
      <c r="C7" s="28"/>
      <c r="D7" s="28" t="s">
        <v>56</v>
      </c>
      <c r="E7" s="28" t="s">
        <v>58</v>
      </c>
      <c r="F7" s="28" t="s">
        <v>60</v>
      </c>
      <c r="G7" s="28" t="s">
        <v>62</v>
      </c>
      <c r="H7" s="28" t="s">
        <v>62</v>
      </c>
    </row>
    <row r="8" spans="1:8" ht="17" thickBot="1" x14ac:dyDescent="0.25">
      <c r="B8" s="29" t="s">
        <v>23</v>
      </c>
      <c r="C8" s="29" t="s">
        <v>24</v>
      </c>
      <c r="D8" s="29" t="s">
        <v>57</v>
      </c>
      <c r="E8" s="29" t="s">
        <v>59</v>
      </c>
      <c r="F8" s="29" t="s">
        <v>61</v>
      </c>
      <c r="G8" s="29" t="s">
        <v>63</v>
      </c>
      <c r="H8" s="29" t="s">
        <v>64</v>
      </c>
    </row>
    <row r="9" spans="1:8" x14ac:dyDescent="0.2">
      <c r="B9" s="26" t="s">
        <v>196</v>
      </c>
      <c r="C9" s="25"/>
      <c r="D9" s="25"/>
      <c r="E9" s="25"/>
      <c r="F9" s="25"/>
      <c r="G9" s="25"/>
      <c r="H9" s="25"/>
    </row>
    <row r="10" spans="1:8" hidden="1" outlineLevel="1" x14ac:dyDescent="0.2">
      <c r="B10" s="21" t="s">
        <v>36</v>
      </c>
      <c r="C10" s="21" t="s">
        <v>216</v>
      </c>
      <c r="D10" s="21">
        <v>15.000000000000002</v>
      </c>
      <c r="E10" s="21">
        <v>0</v>
      </c>
      <c r="F10" s="21">
        <v>50</v>
      </c>
      <c r="G10" s="21">
        <v>1E+30</v>
      </c>
      <c r="H10" s="21">
        <v>20</v>
      </c>
    </row>
    <row r="11" spans="1:8" hidden="1" outlineLevel="1" x14ac:dyDescent="0.2">
      <c r="B11" s="21" t="s">
        <v>39</v>
      </c>
      <c r="C11" s="21" t="s">
        <v>217</v>
      </c>
      <c r="D11" s="21">
        <v>4.5</v>
      </c>
      <c r="E11" s="21">
        <v>0</v>
      </c>
      <c r="F11" s="21">
        <v>60</v>
      </c>
      <c r="G11" s="21">
        <v>40</v>
      </c>
      <c r="H11" s="21">
        <v>59.999999999999993</v>
      </c>
    </row>
    <row r="12" spans="1:8" hidden="1" outlineLevel="1" x14ac:dyDescent="0.2">
      <c r="B12" s="21" t="s">
        <v>108</v>
      </c>
      <c r="C12" s="21" t="s">
        <v>218</v>
      </c>
      <c r="D12" s="21">
        <v>0</v>
      </c>
      <c r="E12" s="21">
        <v>-80</v>
      </c>
      <c r="F12" s="21">
        <v>70</v>
      </c>
      <c r="G12" s="21">
        <v>80</v>
      </c>
      <c r="H12" s="21">
        <v>1E+30</v>
      </c>
    </row>
    <row r="13" spans="1:8" ht="17" hidden="1" outlineLevel="1" thickBot="1" x14ac:dyDescent="0.25">
      <c r="B13" s="18" t="s">
        <v>110</v>
      </c>
      <c r="C13" s="18" t="s">
        <v>219</v>
      </c>
      <c r="D13" s="18">
        <v>0</v>
      </c>
      <c r="E13" s="18">
        <v>-190</v>
      </c>
      <c r="F13" s="18">
        <v>40</v>
      </c>
      <c r="G13" s="18">
        <v>190</v>
      </c>
      <c r="H13" s="18">
        <v>1E+30</v>
      </c>
    </row>
    <row r="14" spans="1:8" collapsed="1" x14ac:dyDescent="0.2">
      <c r="B14" s="20"/>
      <c r="C14" s="20"/>
      <c r="D14" s="20"/>
      <c r="E14" s="20"/>
      <c r="F14" s="20"/>
      <c r="G14" s="20"/>
      <c r="H14" s="20"/>
    </row>
    <row r="16" spans="1:8" ht="17" thickBot="1" x14ac:dyDescent="0.25">
      <c r="A16" t="s">
        <v>29</v>
      </c>
    </row>
    <row r="17" spans="2:8" x14ac:dyDescent="0.2">
      <c r="B17" s="28"/>
      <c r="C17" s="28"/>
      <c r="D17" s="28" t="s">
        <v>56</v>
      </c>
      <c r="E17" s="28" t="s">
        <v>65</v>
      </c>
      <c r="F17" s="28" t="s">
        <v>67</v>
      </c>
      <c r="G17" s="28" t="s">
        <v>62</v>
      </c>
      <c r="H17" s="28" t="s">
        <v>62</v>
      </c>
    </row>
    <row r="18" spans="2:8" ht="17" thickBot="1" x14ac:dyDescent="0.25">
      <c r="B18" s="29" t="s">
        <v>23</v>
      </c>
      <c r="C18" s="29" t="s">
        <v>24</v>
      </c>
      <c r="D18" s="29" t="s">
        <v>57</v>
      </c>
      <c r="E18" s="29" t="s">
        <v>66</v>
      </c>
      <c r="F18" s="29" t="s">
        <v>68</v>
      </c>
      <c r="G18" s="29" t="s">
        <v>63</v>
      </c>
      <c r="H18" s="29" t="s">
        <v>64</v>
      </c>
    </row>
    <row r="19" spans="2:8" x14ac:dyDescent="0.2">
      <c r="B19" s="26" t="s">
        <v>224</v>
      </c>
      <c r="C19" s="25"/>
      <c r="D19" s="25"/>
      <c r="E19" s="25"/>
      <c r="F19" s="25"/>
      <c r="G19" s="25"/>
      <c r="H19" s="25"/>
    </row>
    <row r="20" spans="2:8" hidden="1" outlineLevel="1" x14ac:dyDescent="0.2">
      <c r="B20" s="21" t="s">
        <v>190</v>
      </c>
      <c r="C20" s="21" t="s">
        <v>220</v>
      </c>
      <c r="D20" s="21">
        <v>19.5</v>
      </c>
      <c r="E20" s="21">
        <v>0</v>
      </c>
      <c r="F20" s="21">
        <v>26</v>
      </c>
      <c r="G20" s="21">
        <v>1E+30</v>
      </c>
      <c r="H20" s="21">
        <v>6.4999999999999982</v>
      </c>
    </row>
    <row r="21" spans="2:8" hidden="1" outlineLevel="1" x14ac:dyDescent="0.2">
      <c r="B21" s="21" t="s">
        <v>193</v>
      </c>
      <c r="C21" s="21" t="s">
        <v>221</v>
      </c>
      <c r="D21" s="21">
        <v>30.000000000000004</v>
      </c>
      <c r="E21" s="21">
        <v>10</v>
      </c>
      <c r="F21" s="21">
        <v>30</v>
      </c>
      <c r="G21" s="21">
        <v>18</v>
      </c>
      <c r="H21" s="21">
        <v>30.000000000000004</v>
      </c>
    </row>
    <row r="22" spans="2:8" ht="17" hidden="1" outlineLevel="1" thickBot="1" x14ac:dyDescent="0.25">
      <c r="B22" s="18" t="s">
        <v>185</v>
      </c>
      <c r="C22" s="18" t="s">
        <v>222</v>
      </c>
      <c r="D22" s="18">
        <v>24</v>
      </c>
      <c r="E22" s="18">
        <v>29.999999999999996</v>
      </c>
      <c r="F22" s="18">
        <v>24</v>
      </c>
      <c r="G22" s="18">
        <v>12.999999999999996</v>
      </c>
      <c r="H22" s="18">
        <v>9</v>
      </c>
    </row>
    <row r="23" spans="2:8" collapsed="1" x14ac:dyDescent="0.2">
      <c r="B23" s="20"/>
      <c r="C23" s="20"/>
      <c r="D23" s="20"/>
      <c r="E23" s="20"/>
      <c r="F23" s="20"/>
      <c r="G23" s="20"/>
      <c r="H23" s="2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7BC2-4EFD-AF4B-9877-B408C98C94F3}">
  <dimension ref="A1:F7"/>
  <sheetViews>
    <sheetView workbookViewId="0">
      <selection activeCell="F8" sqref="F8"/>
    </sheetView>
  </sheetViews>
  <sheetFormatPr baseColWidth="10" defaultRowHeight="16" x14ac:dyDescent="0.2"/>
  <cols>
    <col min="1" max="1" width="32.1640625" bestFit="1" customWidth="1"/>
    <col min="2" max="4" width="14.5" bestFit="1" customWidth="1"/>
    <col min="5" max="5" width="9" bestFit="1" customWidth="1"/>
    <col min="6" max="6" width="18.1640625" bestFit="1" customWidth="1"/>
  </cols>
  <sheetData>
    <row r="1" spans="1:6" ht="20" x14ac:dyDescent="0.2">
      <c r="A1" s="13" t="s">
        <v>0</v>
      </c>
      <c r="B1" s="14" t="s">
        <v>225</v>
      </c>
      <c r="C1" s="14" t="s">
        <v>226</v>
      </c>
      <c r="D1" s="14" t="s">
        <v>227</v>
      </c>
      <c r="E1" s="14" t="s">
        <v>228</v>
      </c>
      <c r="F1" s="14" t="s">
        <v>229</v>
      </c>
    </row>
    <row r="2" spans="1:6" ht="20" x14ac:dyDescent="0.2">
      <c r="A2" s="13" t="s">
        <v>3</v>
      </c>
      <c r="B2" s="14">
        <v>10</v>
      </c>
      <c r="C2" s="14">
        <v>33</v>
      </c>
      <c r="D2" s="14">
        <v>45</v>
      </c>
      <c r="E2" s="14"/>
      <c r="F2" s="14"/>
    </row>
    <row r="3" spans="1:6" ht="20" x14ac:dyDescent="0.2">
      <c r="A3" s="13" t="s">
        <v>230</v>
      </c>
      <c r="B3" s="14">
        <v>2</v>
      </c>
      <c r="C3" s="14">
        <v>0</v>
      </c>
      <c r="D3" s="14">
        <v>4</v>
      </c>
      <c r="E3" s="14">
        <f>SUMPRODUCT(B2:D2,B3:D3)</f>
        <v>200</v>
      </c>
      <c r="F3" s="14">
        <v>200</v>
      </c>
    </row>
    <row r="4" spans="1:6" ht="20" x14ac:dyDescent="0.2">
      <c r="A4" s="13" t="s">
        <v>231</v>
      </c>
      <c r="B4" s="14">
        <v>4</v>
      </c>
      <c r="C4" s="14">
        <v>3</v>
      </c>
      <c r="D4" s="14">
        <v>1</v>
      </c>
      <c r="E4" s="14">
        <f>SUMPRODUCT(B2:D2,B4:D4)</f>
        <v>184</v>
      </c>
      <c r="F4" s="14">
        <v>500</v>
      </c>
    </row>
    <row r="5" spans="1:6" ht="20" x14ac:dyDescent="0.2">
      <c r="A5" s="13" t="s">
        <v>232</v>
      </c>
      <c r="B5" s="14">
        <v>10</v>
      </c>
      <c r="C5" s="14">
        <v>15</v>
      </c>
      <c r="D5" s="14">
        <v>20</v>
      </c>
      <c r="E5" s="14">
        <f>SUMPRODUCT(B2:D2,B5:D5)</f>
        <v>1495</v>
      </c>
      <c r="F5" s="14">
        <v>1495</v>
      </c>
    </row>
    <row r="6" spans="1:6" ht="20" x14ac:dyDescent="0.2">
      <c r="A6" s="13" t="s">
        <v>233</v>
      </c>
      <c r="B6" s="14">
        <v>30</v>
      </c>
      <c r="C6" s="14">
        <v>20</v>
      </c>
      <c r="D6" s="14">
        <v>25</v>
      </c>
      <c r="E6" s="14">
        <f>SUMPRODUCT(B2:D2,B6:D6)</f>
        <v>2085</v>
      </c>
      <c r="F6" s="14">
        <v>4500</v>
      </c>
    </row>
    <row r="7" spans="1:6" ht="20" x14ac:dyDescent="0.2">
      <c r="A7" s="13" t="s">
        <v>234</v>
      </c>
      <c r="B7" s="14">
        <v>100</v>
      </c>
      <c r="C7" s="14">
        <v>150</v>
      </c>
      <c r="D7" s="14">
        <v>200</v>
      </c>
      <c r="E7" s="14">
        <f>SUMPRODUCT(B2:D2,B7:D7)</f>
        <v>14950</v>
      </c>
      <c r="F7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A3EB-01AF-0E47-92C7-BD95A8131E79}">
  <dimension ref="A1:G41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0.66406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7.5" bestFit="1" customWidth="1"/>
  </cols>
  <sheetData>
    <row r="1" spans="1:5" x14ac:dyDescent="0.2">
      <c r="A1" s="5" t="s">
        <v>11</v>
      </c>
    </row>
    <row r="2" spans="1:5" x14ac:dyDescent="0.2">
      <c r="A2" s="5" t="s">
        <v>235</v>
      </c>
    </row>
    <row r="3" spans="1:5" x14ac:dyDescent="0.2">
      <c r="A3" s="5" t="s">
        <v>236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237</v>
      </c>
    </row>
    <row r="8" spans="1:5" hidden="1" outlineLevel="1" x14ac:dyDescent="0.2">
      <c r="A8" s="5"/>
      <c r="B8" t="s">
        <v>80</v>
      </c>
    </row>
    <row r="9" spans="1:5" collapsed="1" x14ac:dyDescent="0.2">
      <c r="A9" s="5" t="s">
        <v>19</v>
      </c>
    </row>
    <row r="10" spans="1:5" hidden="1" outlineLevel="1" x14ac:dyDescent="0.2">
      <c r="B10" t="s">
        <v>213</v>
      </c>
    </row>
    <row r="11" spans="1:5" hidden="1" outlineLevel="1" x14ac:dyDescent="0.2">
      <c r="B11" t="s">
        <v>21</v>
      </c>
    </row>
    <row r="12" spans="1:5" collapsed="1" x14ac:dyDescent="0.2"/>
    <row r="14" spans="1:5" ht="17" thickBot="1" x14ac:dyDescent="0.25">
      <c r="A14" t="s">
        <v>22</v>
      </c>
    </row>
    <row r="15" spans="1:5" ht="17" thickBot="1" x14ac:dyDescent="0.25">
      <c r="B15" s="19" t="s">
        <v>23</v>
      </c>
      <c r="C15" s="19" t="s">
        <v>24</v>
      </c>
      <c r="D15" s="19" t="s">
        <v>25</v>
      </c>
      <c r="E15" s="19" t="s">
        <v>26</v>
      </c>
    </row>
    <row r="16" spans="1:5" ht="17" thickBot="1" x14ac:dyDescent="0.25">
      <c r="B16" s="18" t="s">
        <v>238</v>
      </c>
      <c r="C16" s="18" t="s">
        <v>239</v>
      </c>
      <c r="D16" s="22">
        <v>0</v>
      </c>
      <c r="E16" s="22">
        <v>14950</v>
      </c>
    </row>
    <row r="19" spans="1:7" ht="17" thickBot="1" x14ac:dyDescent="0.25">
      <c r="A19" t="s">
        <v>27</v>
      </c>
    </row>
    <row r="20" spans="1:7" ht="17" thickBot="1" x14ac:dyDescent="0.25">
      <c r="B20" s="19" t="s">
        <v>23</v>
      </c>
      <c r="C20" s="19" t="s">
        <v>24</v>
      </c>
      <c r="D20" s="19" t="s">
        <v>25</v>
      </c>
      <c r="E20" s="19" t="s">
        <v>26</v>
      </c>
      <c r="F20" s="19" t="s">
        <v>28</v>
      </c>
    </row>
    <row r="21" spans="1:7" x14ac:dyDescent="0.2">
      <c r="B21" s="26" t="s">
        <v>168</v>
      </c>
      <c r="C21" s="25"/>
      <c r="D21" s="25"/>
      <c r="E21" s="25"/>
      <c r="F21" s="25"/>
    </row>
    <row r="22" spans="1:7" hidden="1" outlineLevel="1" x14ac:dyDescent="0.2">
      <c r="B22" s="21" t="s">
        <v>36</v>
      </c>
      <c r="C22" s="21" t="s">
        <v>240</v>
      </c>
      <c r="D22" s="23">
        <v>0</v>
      </c>
      <c r="E22" s="23">
        <v>10</v>
      </c>
      <c r="F22" s="21" t="s">
        <v>38</v>
      </c>
    </row>
    <row r="23" spans="1:7" hidden="1" outlineLevel="1" x14ac:dyDescent="0.2">
      <c r="B23" s="21" t="s">
        <v>39</v>
      </c>
      <c r="C23" s="21" t="s">
        <v>241</v>
      </c>
      <c r="D23" s="23">
        <v>0</v>
      </c>
      <c r="E23" s="23">
        <v>33</v>
      </c>
      <c r="F23" s="21" t="s">
        <v>38</v>
      </c>
    </row>
    <row r="24" spans="1:7" ht="17" hidden="1" outlineLevel="1" thickBot="1" x14ac:dyDescent="0.25">
      <c r="B24" s="18" t="s">
        <v>108</v>
      </c>
      <c r="C24" s="18" t="s">
        <v>242</v>
      </c>
      <c r="D24" s="22">
        <v>0</v>
      </c>
      <c r="E24" s="22">
        <v>45</v>
      </c>
      <c r="F24" s="18" t="s">
        <v>38</v>
      </c>
    </row>
    <row r="25" spans="1:7" collapsed="1" x14ac:dyDescent="0.2">
      <c r="B25" s="20"/>
      <c r="C25" s="20"/>
      <c r="D25" s="24"/>
      <c r="E25" s="24"/>
      <c r="F25" s="20"/>
    </row>
    <row r="28" spans="1:7" ht="17" thickBot="1" x14ac:dyDescent="0.25">
      <c r="A28" t="s">
        <v>29</v>
      </c>
    </row>
    <row r="29" spans="1:7" ht="17" thickBot="1" x14ac:dyDescent="0.25">
      <c r="B29" s="19" t="s">
        <v>23</v>
      </c>
      <c r="C29" s="19" t="s">
        <v>24</v>
      </c>
      <c r="D29" s="19" t="s">
        <v>30</v>
      </c>
      <c r="E29" s="19" t="s">
        <v>31</v>
      </c>
      <c r="F29" s="19" t="s">
        <v>32</v>
      </c>
      <c r="G29" s="19" t="s">
        <v>33</v>
      </c>
    </row>
    <row r="30" spans="1:7" x14ac:dyDescent="0.2">
      <c r="B30" s="26" t="s">
        <v>254</v>
      </c>
      <c r="C30" s="25"/>
      <c r="D30" s="25"/>
      <c r="E30" s="25"/>
      <c r="F30" s="25"/>
      <c r="G30" s="25"/>
    </row>
    <row r="31" spans="1:7" hidden="1" outlineLevel="1" x14ac:dyDescent="0.2">
      <c r="B31" s="21" t="s">
        <v>159</v>
      </c>
      <c r="C31" s="21" t="s">
        <v>243</v>
      </c>
      <c r="D31" s="23">
        <v>200</v>
      </c>
      <c r="E31" s="21" t="s">
        <v>161</v>
      </c>
      <c r="F31" s="21" t="s">
        <v>48</v>
      </c>
      <c r="G31" s="21">
        <v>0</v>
      </c>
    </row>
    <row r="32" spans="1:7" hidden="1" outlineLevel="1" x14ac:dyDescent="0.2">
      <c r="B32" s="21" t="s">
        <v>162</v>
      </c>
      <c r="C32" s="21" t="s">
        <v>244</v>
      </c>
      <c r="D32" s="23">
        <v>184</v>
      </c>
      <c r="E32" s="21" t="s">
        <v>164</v>
      </c>
      <c r="F32" s="21" t="s">
        <v>44</v>
      </c>
      <c r="G32" s="21">
        <v>316</v>
      </c>
    </row>
    <row r="33" spans="2:7" hidden="1" outlineLevel="1" x14ac:dyDescent="0.2">
      <c r="B33" s="21" t="s">
        <v>165</v>
      </c>
      <c r="C33" s="21" t="s">
        <v>245</v>
      </c>
      <c r="D33" s="23">
        <v>1495</v>
      </c>
      <c r="E33" s="21" t="s">
        <v>167</v>
      </c>
      <c r="F33" s="21" t="s">
        <v>48</v>
      </c>
      <c r="G33" s="21">
        <v>0</v>
      </c>
    </row>
    <row r="34" spans="2:7" hidden="1" outlineLevel="1" x14ac:dyDescent="0.2">
      <c r="B34" s="21" t="s">
        <v>154</v>
      </c>
      <c r="C34" s="21" t="s">
        <v>246</v>
      </c>
      <c r="D34" s="23">
        <v>2085</v>
      </c>
      <c r="E34" s="21" t="s">
        <v>247</v>
      </c>
      <c r="F34" s="21" t="s">
        <v>44</v>
      </c>
      <c r="G34" s="21">
        <v>2415</v>
      </c>
    </row>
    <row r="35" spans="2:7" collapsed="1" x14ac:dyDescent="0.2">
      <c r="B35" s="21"/>
      <c r="C35" s="21"/>
      <c r="D35" s="23"/>
      <c r="E35" s="21"/>
      <c r="F35" s="21"/>
      <c r="G35" s="21"/>
    </row>
    <row r="36" spans="2:7" x14ac:dyDescent="0.2">
      <c r="B36" s="21" t="s">
        <v>36</v>
      </c>
      <c r="C36" s="21" t="s">
        <v>240</v>
      </c>
      <c r="D36" s="23">
        <v>10</v>
      </c>
      <c r="E36" s="21" t="s">
        <v>248</v>
      </c>
      <c r="F36" s="21" t="s">
        <v>44</v>
      </c>
      <c r="G36" s="21">
        <v>10</v>
      </c>
    </row>
    <row r="37" spans="2:7" x14ac:dyDescent="0.2">
      <c r="B37" s="21" t="s">
        <v>36</v>
      </c>
      <c r="C37" s="21" t="s">
        <v>240</v>
      </c>
      <c r="D37" s="23">
        <v>10</v>
      </c>
      <c r="E37" s="21" t="s">
        <v>249</v>
      </c>
      <c r="F37" s="21" t="s">
        <v>48</v>
      </c>
      <c r="G37" s="23">
        <v>0</v>
      </c>
    </row>
    <row r="38" spans="2:7" x14ac:dyDescent="0.2">
      <c r="B38" s="21" t="s">
        <v>39</v>
      </c>
      <c r="C38" s="21" t="s">
        <v>241</v>
      </c>
      <c r="D38" s="23">
        <v>33</v>
      </c>
      <c r="E38" s="21" t="s">
        <v>250</v>
      </c>
      <c r="F38" s="21" t="s">
        <v>44</v>
      </c>
      <c r="G38" s="21">
        <v>7</v>
      </c>
    </row>
    <row r="39" spans="2:7" x14ac:dyDescent="0.2">
      <c r="B39" s="21" t="s">
        <v>39</v>
      </c>
      <c r="C39" s="21" t="s">
        <v>241</v>
      </c>
      <c r="D39" s="23">
        <v>33</v>
      </c>
      <c r="E39" s="21" t="s">
        <v>251</v>
      </c>
      <c r="F39" s="21" t="s">
        <v>44</v>
      </c>
      <c r="G39" s="23">
        <v>13</v>
      </c>
    </row>
    <row r="40" spans="2:7" x14ac:dyDescent="0.2">
      <c r="B40" s="21" t="s">
        <v>108</v>
      </c>
      <c r="C40" s="21" t="s">
        <v>242</v>
      </c>
      <c r="D40" s="23">
        <v>45</v>
      </c>
      <c r="E40" s="21" t="s">
        <v>252</v>
      </c>
      <c r="F40" s="21" t="s">
        <v>44</v>
      </c>
      <c r="G40" s="21">
        <v>55</v>
      </c>
    </row>
    <row r="41" spans="2:7" ht="17" thickBot="1" x14ac:dyDescent="0.25">
      <c r="B41" s="18" t="s">
        <v>108</v>
      </c>
      <c r="C41" s="18" t="s">
        <v>242</v>
      </c>
      <c r="D41" s="22">
        <v>45</v>
      </c>
      <c r="E41" s="18" t="s">
        <v>253</v>
      </c>
      <c r="F41" s="18" t="s">
        <v>44</v>
      </c>
      <c r="G41" s="22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0772-C749-C84B-AF82-54F1E2105C3F}">
  <dimension ref="A1:H23"/>
  <sheetViews>
    <sheetView showGridLines="0" zoomScale="94" workbookViewId="0">
      <selection activeCell="M35" sqref="M35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0.6640625" bestFit="1" customWidth="1"/>
    <col min="4" max="4" width="14.5" bestFit="1" customWidth="1"/>
    <col min="5" max="5" width="12.1640625" bestFit="1" customWidth="1"/>
    <col min="6" max="6" width="16.5" bestFit="1" customWidth="1"/>
    <col min="7" max="7" width="12.1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235</v>
      </c>
    </row>
    <row r="3" spans="1:8" x14ac:dyDescent="0.2">
      <c r="A3" s="5" t="s">
        <v>255</v>
      </c>
    </row>
    <row r="6" spans="1:8" ht="17" thickBot="1" x14ac:dyDescent="0.25">
      <c r="A6" t="s">
        <v>27</v>
      </c>
    </row>
    <row r="7" spans="1:8" x14ac:dyDescent="0.2">
      <c r="B7" s="28"/>
      <c r="C7" s="28"/>
      <c r="D7" s="28" t="s">
        <v>56</v>
      </c>
      <c r="E7" s="28" t="s">
        <v>58</v>
      </c>
      <c r="F7" s="28" t="s">
        <v>60</v>
      </c>
      <c r="G7" s="28" t="s">
        <v>62</v>
      </c>
      <c r="H7" s="28" t="s">
        <v>62</v>
      </c>
    </row>
    <row r="8" spans="1:8" ht="17" thickBot="1" x14ac:dyDescent="0.25">
      <c r="B8" s="29" t="s">
        <v>23</v>
      </c>
      <c r="C8" s="29" t="s">
        <v>24</v>
      </c>
      <c r="D8" s="29" t="s">
        <v>57</v>
      </c>
      <c r="E8" s="29" t="s">
        <v>59</v>
      </c>
      <c r="F8" s="29" t="s">
        <v>61</v>
      </c>
      <c r="G8" s="29" t="s">
        <v>63</v>
      </c>
      <c r="H8" s="29" t="s">
        <v>64</v>
      </c>
    </row>
    <row r="9" spans="1:8" x14ac:dyDescent="0.2">
      <c r="B9" s="26" t="s">
        <v>168</v>
      </c>
      <c r="C9" s="25"/>
      <c r="D9" s="25"/>
      <c r="E9" s="25"/>
      <c r="F9" s="25"/>
      <c r="G9" s="25"/>
      <c r="H9" s="25"/>
    </row>
    <row r="10" spans="1:8" hidden="1" outlineLevel="1" x14ac:dyDescent="0.2">
      <c r="B10" s="21" t="s">
        <v>36</v>
      </c>
      <c r="C10" s="21" t="s">
        <v>240</v>
      </c>
      <c r="D10" s="21">
        <v>10</v>
      </c>
      <c r="E10" s="21">
        <v>0</v>
      </c>
      <c r="F10" s="21">
        <v>100</v>
      </c>
      <c r="G10" s="21">
        <v>0</v>
      </c>
      <c r="H10" s="21">
        <v>1E+30</v>
      </c>
    </row>
    <row r="11" spans="1:8" hidden="1" outlineLevel="1" x14ac:dyDescent="0.2">
      <c r="B11" s="21" t="s">
        <v>39</v>
      </c>
      <c r="C11" s="21" t="s">
        <v>241</v>
      </c>
      <c r="D11" s="21">
        <v>33</v>
      </c>
      <c r="E11" s="21">
        <v>0</v>
      </c>
      <c r="F11" s="21">
        <v>150</v>
      </c>
      <c r="G11" s="21">
        <v>8.3266726846886741E-15</v>
      </c>
      <c r="H11" s="21">
        <v>150</v>
      </c>
    </row>
    <row r="12" spans="1:8" ht="17" hidden="1" outlineLevel="1" thickBot="1" x14ac:dyDescent="0.25">
      <c r="B12" s="18" t="s">
        <v>108</v>
      </c>
      <c r="C12" s="18" t="s">
        <v>242</v>
      </c>
      <c r="D12" s="18">
        <v>45</v>
      </c>
      <c r="E12" s="18">
        <v>0</v>
      </c>
      <c r="F12" s="18">
        <v>200</v>
      </c>
      <c r="G12" s="18">
        <v>1E+30</v>
      </c>
      <c r="H12" s="18">
        <v>0</v>
      </c>
    </row>
    <row r="13" spans="1:8" collapsed="1" x14ac:dyDescent="0.2">
      <c r="B13" s="20"/>
      <c r="C13" s="20"/>
      <c r="D13" s="20"/>
      <c r="E13" s="20"/>
      <c r="F13" s="20"/>
      <c r="G13" s="20"/>
      <c r="H13" s="20"/>
    </row>
    <row r="15" spans="1:8" ht="17" thickBot="1" x14ac:dyDescent="0.25">
      <c r="A15" t="s">
        <v>29</v>
      </c>
    </row>
    <row r="16" spans="1:8" x14ac:dyDescent="0.2">
      <c r="B16" s="28"/>
      <c r="C16" s="28"/>
      <c r="D16" s="28" t="s">
        <v>56</v>
      </c>
      <c r="E16" s="28" t="s">
        <v>65</v>
      </c>
      <c r="F16" s="28" t="s">
        <v>67</v>
      </c>
      <c r="G16" s="28" t="s">
        <v>62</v>
      </c>
      <c r="H16" s="28" t="s">
        <v>62</v>
      </c>
    </row>
    <row r="17" spans="2:8" ht="17" thickBot="1" x14ac:dyDescent="0.25">
      <c r="B17" s="29" t="s">
        <v>23</v>
      </c>
      <c r="C17" s="29" t="s">
        <v>24</v>
      </c>
      <c r="D17" s="29" t="s">
        <v>57</v>
      </c>
      <c r="E17" s="29" t="s">
        <v>66</v>
      </c>
      <c r="F17" s="29" t="s">
        <v>68</v>
      </c>
      <c r="G17" s="29" t="s">
        <v>63</v>
      </c>
      <c r="H17" s="29" t="s">
        <v>64</v>
      </c>
    </row>
    <row r="18" spans="2:8" x14ac:dyDescent="0.2">
      <c r="B18" s="26" t="s">
        <v>254</v>
      </c>
      <c r="C18" s="25"/>
      <c r="D18" s="25"/>
      <c r="E18" s="25"/>
      <c r="F18" s="25"/>
      <c r="G18" s="25"/>
      <c r="H18" s="25"/>
    </row>
    <row r="19" spans="2:8" hidden="1" outlineLevel="1" x14ac:dyDescent="0.2">
      <c r="B19" s="21" t="s">
        <v>159</v>
      </c>
      <c r="C19" s="21" t="s">
        <v>243</v>
      </c>
      <c r="D19" s="21">
        <v>200</v>
      </c>
      <c r="E19" s="21">
        <v>2.7755575615628914E-15</v>
      </c>
      <c r="F19" s="21">
        <v>200</v>
      </c>
      <c r="G19" s="21">
        <v>39</v>
      </c>
      <c r="H19" s="21">
        <v>21</v>
      </c>
    </row>
    <row r="20" spans="2:8" hidden="1" outlineLevel="1" x14ac:dyDescent="0.2">
      <c r="B20" s="21" t="s">
        <v>162</v>
      </c>
      <c r="C20" s="21" t="s">
        <v>244</v>
      </c>
      <c r="D20" s="21">
        <v>184</v>
      </c>
      <c r="E20" s="21">
        <v>0</v>
      </c>
      <c r="F20" s="21">
        <v>500</v>
      </c>
      <c r="G20" s="21">
        <v>1E+30</v>
      </c>
      <c r="H20" s="21">
        <v>316</v>
      </c>
    </row>
    <row r="21" spans="2:8" hidden="1" outlineLevel="1" x14ac:dyDescent="0.2">
      <c r="B21" s="21" t="s">
        <v>165</v>
      </c>
      <c r="C21" s="21" t="s">
        <v>245</v>
      </c>
      <c r="D21" s="21">
        <v>1495</v>
      </c>
      <c r="E21" s="21">
        <v>10</v>
      </c>
      <c r="F21" s="21">
        <v>1495</v>
      </c>
      <c r="G21" s="21">
        <v>105</v>
      </c>
      <c r="H21" s="21">
        <v>195</v>
      </c>
    </row>
    <row r="22" spans="2:8" ht="17" hidden="1" outlineLevel="1" thickBot="1" x14ac:dyDescent="0.25">
      <c r="B22" s="18" t="s">
        <v>154</v>
      </c>
      <c r="C22" s="18" t="s">
        <v>246</v>
      </c>
      <c r="D22" s="18">
        <v>2085</v>
      </c>
      <c r="E22" s="18">
        <v>0</v>
      </c>
      <c r="F22" s="18">
        <v>4500</v>
      </c>
      <c r="G22" s="18">
        <v>1E+30</v>
      </c>
      <c r="H22" s="18">
        <v>2415</v>
      </c>
    </row>
    <row r="23" spans="2:8" collapsed="1" x14ac:dyDescent="0.2">
      <c r="B23" s="20"/>
      <c r="C23" s="20"/>
      <c r="D23" s="20"/>
      <c r="E23" s="20"/>
      <c r="F23" s="20"/>
      <c r="G23" s="20"/>
      <c r="H23" s="2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9037-F2F5-F142-AE2A-2A85FBE25E91}">
  <dimension ref="A1:F6"/>
  <sheetViews>
    <sheetView workbookViewId="0">
      <selection activeCell="B6" sqref="B6"/>
    </sheetView>
  </sheetViews>
  <sheetFormatPr baseColWidth="10" defaultRowHeight="16" x14ac:dyDescent="0.2"/>
  <cols>
    <col min="1" max="1" width="33.1640625" bestFit="1" customWidth="1"/>
    <col min="2" max="2" width="13.5" bestFit="1" customWidth="1"/>
    <col min="3" max="3" width="14.6640625" bestFit="1" customWidth="1"/>
    <col min="4" max="4" width="21" bestFit="1" customWidth="1"/>
    <col min="5" max="5" width="10.5" bestFit="1" customWidth="1"/>
    <col min="6" max="6" width="15.6640625" bestFit="1" customWidth="1"/>
  </cols>
  <sheetData>
    <row r="1" spans="1:6" ht="20" x14ac:dyDescent="0.2">
      <c r="A1" s="13" t="s">
        <v>256</v>
      </c>
      <c r="B1" s="14" t="s">
        <v>257</v>
      </c>
      <c r="C1" s="14" t="s">
        <v>258</v>
      </c>
      <c r="D1" s="14" t="s">
        <v>259</v>
      </c>
      <c r="E1" s="14" t="s">
        <v>228</v>
      </c>
      <c r="F1" s="14" t="s">
        <v>2</v>
      </c>
    </row>
    <row r="2" spans="1:6" ht="20" x14ac:dyDescent="0.2">
      <c r="A2" s="13" t="s">
        <v>260</v>
      </c>
      <c r="B2" s="14">
        <v>2200</v>
      </c>
      <c r="C2" s="14">
        <v>0</v>
      </c>
      <c r="D2" s="14">
        <v>0</v>
      </c>
      <c r="E2" s="14"/>
      <c r="F2" s="14"/>
    </row>
    <row r="3" spans="1:6" ht="20" x14ac:dyDescent="0.2">
      <c r="A3" s="13" t="s">
        <v>261</v>
      </c>
      <c r="B3" s="14">
        <v>2</v>
      </c>
      <c r="C3" s="14">
        <v>1</v>
      </c>
      <c r="D3" s="14">
        <v>4</v>
      </c>
      <c r="E3" s="14">
        <f>SUMPRODUCT(B2:D2,B3:D3)</f>
        <v>4400</v>
      </c>
      <c r="F3" s="14">
        <v>36000</v>
      </c>
    </row>
    <row r="4" spans="1:6" ht="20" x14ac:dyDescent="0.2">
      <c r="A4" s="13" t="s">
        <v>262</v>
      </c>
      <c r="B4" s="14">
        <v>4</v>
      </c>
      <c r="C4" s="14">
        <v>2</v>
      </c>
      <c r="D4" s="14">
        <v>2</v>
      </c>
      <c r="E4" s="14">
        <f>SUMPRODUCT(B2:D2,B4:D4)</f>
        <v>8800</v>
      </c>
      <c r="F4" s="14">
        <v>52000</v>
      </c>
    </row>
    <row r="5" spans="1:6" ht="20" x14ac:dyDescent="0.2">
      <c r="A5" s="13" t="s">
        <v>263</v>
      </c>
      <c r="B5" s="14">
        <v>1</v>
      </c>
      <c r="C5" s="14">
        <v>1</v>
      </c>
      <c r="D5" s="14">
        <v>2</v>
      </c>
      <c r="E5" s="14">
        <f>SUMPRODUCT(B2:D2,B5:D5)</f>
        <v>2200</v>
      </c>
      <c r="F5" s="14">
        <v>2200</v>
      </c>
    </row>
    <row r="6" spans="1:6" ht="20" x14ac:dyDescent="0.2">
      <c r="A6" s="13" t="s">
        <v>7</v>
      </c>
      <c r="B6" s="14">
        <v>220</v>
      </c>
      <c r="C6" s="14">
        <v>180</v>
      </c>
      <c r="D6" s="14">
        <v>300</v>
      </c>
      <c r="E6" s="14">
        <f>SUMPRODUCT(B2:D2,B6:D6)</f>
        <v>484000</v>
      </c>
      <c r="F6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8280-0137-B64A-933C-9D85221A37A7}">
  <dimension ref="A1:G39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2.832031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7.5" bestFit="1" customWidth="1"/>
  </cols>
  <sheetData>
    <row r="1" spans="1:5" x14ac:dyDescent="0.2">
      <c r="A1" s="5" t="s">
        <v>11</v>
      </c>
    </row>
    <row r="2" spans="1:5" x14ac:dyDescent="0.2">
      <c r="A2" s="5" t="s">
        <v>264</v>
      </c>
    </row>
    <row r="3" spans="1:5" x14ac:dyDescent="0.2">
      <c r="A3" s="5" t="s">
        <v>265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266</v>
      </c>
    </row>
    <row r="8" spans="1:5" hidden="1" outlineLevel="1" x14ac:dyDescent="0.2">
      <c r="A8" s="5"/>
      <c r="B8" t="s">
        <v>80</v>
      </c>
    </row>
    <row r="9" spans="1:5" collapsed="1" x14ac:dyDescent="0.2">
      <c r="A9" s="5" t="s">
        <v>19</v>
      </c>
    </row>
    <row r="10" spans="1:5" hidden="1" outlineLevel="1" x14ac:dyDescent="0.2">
      <c r="B10" t="s">
        <v>213</v>
      </c>
    </row>
    <row r="11" spans="1:5" hidden="1" outlineLevel="1" x14ac:dyDescent="0.2">
      <c r="B11" t="s">
        <v>21</v>
      </c>
    </row>
    <row r="12" spans="1:5" collapsed="1" x14ac:dyDescent="0.2"/>
    <row r="14" spans="1:5" ht="17" thickBot="1" x14ac:dyDescent="0.25">
      <c r="A14" t="s">
        <v>22</v>
      </c>
    </row>
    <row r="15" spans="1:5" ht="17" thickBot="1" x14ac:dyDescent="0.25">
      <c r="B15" s="19" t="s">
        <v>23</v>
      </c>
      <c r="C15" s="19" t="s">
        <v>24</v>
      </c>
      <c r="D15" s="19" t="s">
        <v>25</v>
      </c>
      <c r="E15" s="19" t="s">
        <v>26</v>
      </c>
    </row>
    <row r="16" spans="1:5" ht="17" thickBot="1" x14ac:dyDescent="0.25">
      <c r="B16" s="18" t="s">
        <v>154</v>
      </c>
      <c r="C16" s="18" t="s">
        <v>267</v>
      </c>
      <c r="D16" s="22">
        <v>0</v>
      </c>
      <c r="E16" s="22">
        <v>484000</v>
      </c>
    </row>
    <row r="19" spans="1:7" ht="17" thickBot="1" x14ac:dyDescent="0.25">
      <c r="A19" t="s">
        <v>27</v>
      </c>
    </row>
    <row r="20" spans="1:7" ht="17" thickBot="1" x14ac:dyDescent="0.25">
      <c r="B20" s="19" t="s">
        <v>23</v>
      </c>
      <c r="C20" s="19" t="s">
        <v>24</v>
      </c>
      <c r="D20" s="19" t="s">
        <v>25</v>
      </c>
      <c r="E20" s="19" t="s">
        <v>26</v>
      </c>
      <c r="F20" s="19" t="s">
        <v>28</v>
      </c>
    </row>
    <row r="21" spans="1:7" x14ac:dyDescent="0.2">
      <c r="B21" s="26" t="s">
        <v>168</v>
      </c>
      <c r="C21" s="25"/>
      <c r="D21" s="25"/>
      <c r="E21" s="25"/>
      <c r="F21" s="25"/>
    </row>
    <row r="22" spans="1:7" hidden="1" outlineLevel="1" x14ac:dyDescent="0.2">
      <c r="B22" s="21" t="s">
        <v>36</v>
      </c>
      <c r="C22" s="21" t="s">
        <v>268</v>
      </c>
      <c r="D22" s="23">
        <v>0</v>
      </c>
      <c r="E22" s="23">
        <v>2200</v>
      </c>
      <c r="F22" s="21" t="s">
        <v>38</v>
      </c>
    </row>
    <row r="23" spans="1:7" hidden="1" outlineLevel="1" x14ac:dyDescent="0.2">
      <c r="B23" s="21" t="s">
        <v>39</v>
      </c>
      <c r="C23" s="21" t="s">
        <v>269</v>
      </c>
      <c r="D23" s="23">
        <v>0</v>
      </c>
      <c r="E23" s="23">
        <v>0</v>
      </c>
      <c r="F23" s="21" t="s">
        <v>38</v>
      </c>
    </row>
    <row r="24" spans="1:7" ht="17" hidden="1" outlineLevel="1" thickBot="1" x14ac:dyDescent="0.25">
      <c r="B24" s="18" t="s">
        <v>108</v>
      </c>
      <c r="C24" s="18" t="s">
        <v>270</v>
      </c>
      <c r="D24" s="22">
        <v>0</v>
      </c>
      <c r="E24" s="22">
        <v>0</v>
      </c>
      <c r="F24" s="18" t="s">
        <v>38</v>
      </c>
    </row>
    <row r="25" spans="1:7" collapsed="1" x14ac:dyDescent="0.2">
      <c r="B25" s="20"/>
      <c r="C25" s="20"/>
      <c r="D25" s="24"/>
      <c r="E25" s="24"/>
      <c r="F25" s="20"/>
    </row>
    <row r="28" spans="1:7" ht="17" thickBot="1" x14ac:dyDescent="0.25">
      <c r="A28" t="s">
        <v>29</v>
      </c>
    </row>
    <row r="29" spans="1:7" ht="17" thickBot="1" x14ac:dyDescent="0.25">
      <c r="B29" s="19" t="s">
        <v>23</v>
      </c>
      <c r="C29" s="19" t="s">
        <v>24</v>
      </c>
      <c r="D29" s="19" t="s">
        <v>30</v>
      </c>
      <c r="E29" s="19" t="s">
        <v>31</v>
      </c>
      <c r="F29" s="19" t="s">
        <v>32</v>
      </c>
      <c r="G29" s="19" t="s">
        <v>33</v>
      </c>
    </row>
    <row r="30" spans="1:7" x14ac:dyDescent="0.2">
      <c r="B30" s="26" t="s">
        <v>169</v>
      </c>
      <c r="C30" s="25"/>
      <c r="D30" s="25"/>
      <c r="E30" s="25"/>
      <c r="F30" s="25"/>
      <c r="G30" s="25"/>
    </row>
    <row r="31" spans="1:7" hidden="1" outlineLevel="1" x14ac:dyDescent="0.2">
      <c r="B31" s="21" t="s">
        <v>159</v>
      </c>
      <c r="C31" s="21" t="s">
        <v>271</v>
      </c>
      <c r="D31" s="23">
        <v>4400</v>
      </c>
      <c r="E31" s="21" t="s">
        <v>161</v>
      </c>
      <c r="F31" s="21" t="s">
        <v>44</v>
      </c>
      <c r="G31" s="21">
        <v>31600</v>
      </c>
    </row>
    <row r="32" spans="1:7" hidden="1" outlineLevel="1" x14ac:dyDescent="0.2">
      <c r="B32" s="21" t="s">
        <v>162</v>
      </c>
      <c r="C32" s="21" t="s">
        <v>272</v>
      </c>
      <c r="D32" s="23">
        <v>8800</v>
      </c>
      <c r="E32" s="21" t="s">
        <v>164</v>
      </c>
      <c r="F32" s="21" t="s">
        <v>44</v>
      </c>
      <c r="G32" s="21">
        <v>43200</v>
      </c>
    </row>
    <row r="33" spans="2:7" hidden="1" outlineLevel="1" x14ac:dyDescent="0.2">
      <c r="B33" s="21" t="s">
        <v>165</v>
      </c>
      <c r="C33" s="21" t="s">
        <v>273</v>
      </c>
      <c r="D33" s="23">
        <v>2200</v>
      </c>
      <c r="E33" s="21" t="s">
        <v>167</v>
      </c>
      <c r="F33" s="21" t="s">
        <v>48</v>
      </c>
      <c r="G33" s="21">
        <v>0</v>
      </c>
    </row>
    <row r="34" spans="2:7" collapsed="1" x14ac:dyDescent="0.2">
      <c r="B34" s="21"/>
      <c r="C34" s="21"/>
      <c r="D34" s="23"/>
      <c r="E34" s="21"/>
      <c r="F34" s="21"/>
      <c r="G34" s="21"/>
    </row>
    <row r="35" spans="2:7" x14ac:dyDescent="0.2">
      <c r="B35" s="27" t="s">
        <v>170</v>
      </c>
      <c r="C35" s="21"/>
      <c r="D35" s="23"/>
      <c r="E35" s="21"/>
      <c r="F35" s="21"/>
      <c r="G35" s="21"/>
    </row>
    <row r="36" spans="2:7" hidden="1" outlineLevel="1" x14ac:dyDescent="0.2">
      <c r="B36" s="21" t="s">
        <v>36</v>
      </c>
      <c r="C36" s="21" t="s">
        <v>268</v>
      </c>
      <c r="D36" s="23">
        <v>2200</v>
      </c>
      <c r="E36" s="21" t="s">
        <v>52</v>
      </c>
      <c r="F36" s="21" t="s">
        <v>44</v>
      </c>
      <c r="G36" s="23">
        <v>2200</v>
      </c>
    </row>
    <row r="37" spans="2:7" hidden="1" outlineLevel="1" x14ac:dyDescent="0.2">
      <c r="B37" s="21" t="s">
        <v>39</v>
      </c>
      <c r="C37" s="21" t="s">
        <v>269</v>
      </c>
      <c r="D37" s="23">
        <v>0</v>
      </c>
      <c r="E37" s="21" t="s">
        <v>53</v>
      </c>
      <c r="F37" s="21" t="s">
        <v>48</v>
      </c>
      <c r="G37" s="23">
        <v>0</v>
      </c>
    </row>
    <row r="38" spans="2:7" ht="17" hidden="1" outlineLevel="1" thickBot="1" x14ac:dyDescent="0.25">
      <c r="B38" s="18" t="s">
        <v>108</v>
      </c>
      <c r="C38" s="18" t="s">
        <v>270</v>
      </c>
      <c r="D38" s="22">
        <v>0</v>
      </c>
      <c r="E38" s="18" t="s">
        <v>126</v>
      </c>
      <c r="F38" s="18" t="s">
        <v>48</v>
      </c>
      <c r="G38" s="22">
        <v>0</v>
      </c>
    </row>
    <row r="39" spans="2:7" collapsed="1" x14ac:dyDescent="0.2">
      <c r="B39" s="20"/>
      <c r="C39" s="20"/>
      <c r="D39" s="24"/>
      <c r="E39" s="20"/>
      <c r="F39" s="20"/>
      <c r="G39" s="2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6E938-2AA0-C34E-B06A-44D4F30AC215}">
  <dimension ref="A1:H22"/>
  <sheetViews>
    <sheetView showGridLines="0" workbookViewId="0">
      <selection sqref="A1:A3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2.83203125" bestFit="1" customWidth="1"/>
    <col min="4" max="4" width="14.5" bestFit="1" customWidth="1"/>
    <col min="5" max="5" width="11.5" bestFit="1" customWidth="1"/>
    <col min="6" max="6" width="16.5" bestFit="1" customWidth="1"/>
    <col min="7" max="7" width="11.6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264</v>
      </c>
    </row>
    <row r="3" spans="1:8" x14ac:dyDescent="0.2">
      <c r="A3" s="5" t="s">
        <v>265</v>
      </c>
    </row>
    <row r="6" spans="1:8" ht="17" thickBot="1" x14ac:dyDescent="0.25">
      <c r="A6" t="s">
        <v>27</v>
      </c>
    </row>
    <row r="7" spans="1:8" x14ac:dyDescent="0.2">
      <c r="B7" s="28"/>
      <c r="C7" s="28"/>
      <c r="D7" s="28" t="s">
        <v>56</v>
      </c>
      <c r="E7" s="28" t="s">
        <v>58</v>
      </c>
      <c r="F7" s="28" t="s">
        <v>60</v>
      </c>
      <c r="G7" s="28" t="s">
        <v>62</v>
      </c>
      <c r="H7" s="28" t="s">
        <v>62</v>
      </c>
    </row>
    <row r="8" spans="1:8" ht="17" thickBot="1" x14ac:dyDescent="0.25">
      <c r="B8" s="29" t="s">
        <v>23</v>
      </c>
      <c r="C8" s="29" t="s">
        <v>24</v>
      </c>
      <c r="D8" s="29" t="s">
        <v>57</v>
      </c>
      <c r="E8" s="29" t="s">
        <v>59</v>
      </c>
      <c r="F8" s="29" t="s">
        <v>61</v>
      </c>
      <c r="G8" s="29" t="s">
        <v>63</v>
      </c>
      <c r="H8" s="29" t="s">
        <v>64</v>
      </c>
    </row>
    <row r="9" spans="1:8" x14ac:dyDescent="0.2">
      <c r="B9" s="26" t="s">
        <v>168</v>
      </c>
      <c r="C9" s="25"/>
      <c r="D9" s="25"/>
      <c r="E9" s="25"/>
      <c r="F9" s="25"/>
      <c r="G9" s="25"/>
      <c r="H9" s="25"/>
    </row>
    <row r="10" spans="1:8" hidden="1" outlineLevel="1" x14ac:dyDescent="0.2">
      <c r="B10" s="21" t="s">
        <v>36</v>
      </c>
      <c r="C10" s="21" t="s">
        <v>268</v>
      </c>
      <c r="D10" s="21">
        <v>2200</v>
      </c>
      <c r="E10" s="21">
        <v>0</v>
      </c>
      <c r="F10" s="21">
        <v>220</v>
      </c>
      <c r="G10" s="21">
        <v>1E+30</v>
      </c>
      <c r="H10" s="21">
        <v>40</v>
      </c>
    </row>
    <row r="11" spans="1:8" hidden="1" outlineLevel="1" x14ac:dyDescent="0.2">
      <c r="B11" s="21" t="s">
        <v>39</v>
      </c>
      <c r="C11" s="21" t="s">
        <v>269</v>
      </c>
      <c r="D11" s="21">
        <v>0</v>
      </c>
      <c r="E11" s="21">
        <v>-40</v>
      </c>
      <c r="F11" s="21">
        <v>180</v>
      </c>
      <c r="G11" s="21">
        <v>40</v>
      </c>
      <c r="H11" s="21">
        <v>1E+30</v>
      </c>
    </row>
    <row r="12" spans="1:8" ht="17" hidden="1" outlineLevel="1" thickBot="1" x14ac:dyDescent="0.25">
      <c r="B12" s="18" t="s">
        <v>108</v>
      </c>
      <c r="C12" s="18" t="s">
        <v>270</v>
      </c>
      <c r="D12" s="18">
        <v>0</v>
      </c>
      <c r="E12" s="18">
        <v>-140</v>
      </c>
      <c r="F12" s="18">
        <v>300</v>
      </c>
      <c r="G12" s="18">
        <v>140</v>
      </c>
      <c r="H12" s="18">
        <v>1E+30</v>
      </c>
    </row>
    <row r="13" spans="1:8" collapsed="1" x14ac:dyDescent="0.2">
      <c r="B13" s="20"/>
      <c r="C13" s="20"/>
      <c r="D13" s="20"/>
      <c r="E13" s="20"/>
      <c r="F13" s="20"/>
      <c r="G13" s="20"/>
      <c r="H13" s="20"/>
    </row>
    <row r="15" spans="1:8" ht="17" thickBot="1" x14ac:dyDescent="0.25">
      <c r="A15" t="s">
        <v>29</v>
      </c>
    </row>
    <row r="16" spans="1:8" x14ac:dyDescent="0.2">
      <c r="B16" s="28"/>
      <c r="C16" s="28"/>
      <c r="D16" s="28" t="s">
        <v>56</v>
      </c>
      <c r="E16" s="28" t="s">
        <v>65</v>
      </c>
      <c r="F16" s="28" t="s">
        <v>67</v>
      </c>
      <c r="G16" s="28" t="s">
        <v>62</v>
      </c>
      <c r="H16" s="28" t="s">
        <v>62</v>
      </c>
    </row>
    <row r="17" spans="2:8" ht="17" thickBot="1" x14ac:dyDescent="0.25">
      <c r="B17" s="29" t="s">
        <v>23</v>
      </c>
      <c r="C17" s="29" t="s">
        <v>24</v>
      </c>
      <c r="D17" s="29" t="s">
        <v>57</v>
      </c>
      <c r="E17" s="29" t="s">
        <v>66</v>
      </c>
      <c r="F17" s="29" t="s">
        <v>68</v>
      </c>
      <c r="G17" s="29" t="s">
        <v>63</v>
      </c>
      <c r="H17" s="29" t="s">
        <v>64</v>
      </c>
    </row>
    <row r="18" spans="2:8" x14ac:dyDescent="0.2">
      <c r="B18" s="26" t="s">
        <v>169</v>
      </c>
      <c r="C18" s="25"/>
      <c r="D18" s="25"/>
      <c r="E18" s="25"/>
      <c r="F18" s="25"/>
      <c r="G18" s="25"/>
      <c r="H18" s="25"/>
    </row>
    <row r="19" spans="2:8" hidden="1" outlineLevel="1" x14ac:dyDescent="0.2">
      <c r="B19" s="21" t="s">
        <v>159</v>
      </c>
      <c r="C19" s="21" t="s">
        <v>271</v>
      </c>
      <c r="D19" s="21">
        <v>4400</v>
      </c>
      <c r="E19" s="21">
        <v>0</v>
      </c>
      <c r="F19" s="21">
        <v>36000</v>
      </c>
      <c r="G19" s="21">
        <v>1E+30</v>
      </c>
      <c r="H19" s="21">
        <v>31600</v>
      </c>
    </row>
    <row r="20" spans="2:8" hidden="1" outlineLevel="1" x14ac:dyDescent="0.2">
      <c r="B20" s="21" t="s">
        <v>162</v>
      </c>
      <c r="C20" s="21" t="s">
        <v>272</v>
      </c>
      <c r="D20" s="21">
        <v>8800</v>
      </c>
      <c r="E20" s="21">
        <v>0</v>
      </c>
      <c r="F20" s="21">
        <v>52000</v>
      </c>
      <c r="G20" s="21">
        <v>1E+30</v>
      </c>
      <c r="H20" s="21">
        <v>43200</v>
      </c>
    </row>
    <row r="21" spans="2:8" ht="17" hidden="1" outlineLevel="1" thickBot="1" x14ac:dyDescent="0.25">
      <c r="B21" s="18" t="s">
        <v>165</v>
      </c>
      <c r="C21" s="18" t="s">
        <v>273</v>
      </c>
      <c r="D21" s="18">
        <v>2200</v>
      </c>
      <c r="E21" s="18">
        <v>220</v>
      </c>
      <c r="F21" s="18">
        <v>2200</v>
      </c>
      <c r="G21" s="18">
        <v>10800</v>
      </c>
      <c r="H21" s="18">
        <v>2200</v>
      </c>
    </row>
    <row r="22" spans="2:8" collapsed="1" x14ac:dyDescent="0.2">
      <c r="B22" s="20"/>
      <c r="C22" s="20"/>
      <c r="D22" s="20"/>
      <c r="E22" s="20"/>
      <c r="F22" s="20"/>
      <c r="G22" s="20"/>
      <c r="H22" s="2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1C6F-C3CC-1349-B3CF-180EFCB332DB}">
  <dimension ref="A1:G8"/>
  <sheetViews>
    <sheetView workbookViewId="0">
      <selection activeCell="F8" sqref="F8"/>
    </sheetView>
  </sheetViews>
  <sheetFormatPr baseColWidth="10" defaultRowHeight="16" x14ac:dyDescent="0.2"/>
  <cols>
    <col min="1" max="1" width="39.33203125" bestFit="1" customWidth="1"/>
    <col min="2" max="5" width="12.33203125" bestFit="1" customWidth="1"/>
    <col min="6" max="6" width="19.33203125" bestFit="1" customWidth="1"/>
    <col min="7" max="7" width="21" bestFit="1" customWidth="1"/>
  </cols>
  <sheetData>
    <row r="1" spans="1:7" ht="20" x14ac:dyDescent="0.2">
      <c r="A1" s="15" t="s">
        <v>274</v>
      </c>
      <c r="B1" s="14" t="s">
        <v>275</v>
      </c>
      <c r="C1" s="14" t="s">
        <v>276</v>
      </c>
      <c r="D1" s="14" t="s">
        <v>277</v>
      </c>
      <c r="E1" s="14" t="s">
        <v>278</v>
      </c>
      <c r="F1" s="14" t="s">
        <v>1</v>
      </c>
      <c r="G1" s="14" t="s">
        <v>279</v>
      </c>
    </row>
    <row r="2" spans="1:7" ht="20" x14ac:dyDescent="0.2">
      <c r="A2" s="15" t="s">
        <v>280</v>
      </c>
      <c r="B2" s="14">
        <v>1200</v>
      </c>
      <c r="C2" s="14">
        <v>1000</v>
      </c>
      <c r="D2" s="14">
        <v>1500</v>
      </c>
      <c r="E2" s="14">
        <v>2100</v>
      </c>
      <c r="F2" s="14"/>
      <c r="G2" s="14"/>
    </row>
    <row r="3" spans="1:7" ht="20" x14ac:dyDescent="0.2">
      <c r="A3" s="15" t="s">
        <v>281</v>
      </c>
      <c r="B3" s="14">
        <v>18</v>
      </c>
      <c r="C3" s="14">
        <v>26</v>
      </c>
      <c r="D3" s="14">
        <v>16</v>
      </c>
      <c r="E3" s="14">
        <v>10</v>
      </c>
      <c r="F3" s="14">
        <f>SUMPRODUCT(B2:E2,B3:E3)</f>
        <v>92600</v>
      </c>
      <c r="G3" s="14">
        <v>110000</v>
      </c>
    </row>
    <row r="4" spans="1:7" ht="20" x14ac:dyDescent="0.2">
      <c r="A4" s="15" t="s">
        <v>282</v>
      </c>
      <c r="B4" s="14">
        <v>150</v>
      </c>
      <c r="C4" s="14">
        <v>140</v>
      </c>
      <c r="D4" s="14">
        <v>50</v>
      </c>
      <c r="E4" s="14">
        <v>80</v>
      </c>
      <c r="F4" s="14">
        <f>SUMPRODUCT(B2:E2,B4:E4)</f>
        <v>563000</v>
      </c>
      <c r="G4" s="14">
        <v>950000</v>
      </c>
    </row>
    <row r="5" spans="1:7" ht="20" x14ac:dyDescent="0.2">
      <c r="A5" s="15" t="s">
        <v>283</v>
      </c>
      <c r="B5" s="14">
        <v>170</v>
      </c>
      <c r="C5" s="14">
        <v>230</v>
      </c>
      <c r="D5" s="14">
        <v>280</v>
      </c>
      <c r="E5" s="14">
        <v>120</v>
      </c>
      <c r="F5" s="14">
        <f>SUMPRODUCT(B2:E2,B5:E5)</f>
        <v>1106000</v>
      </c>
      <c r="G5" s="14">
        <v>1200000</v>
      </c>
    </row>
    <row r="6" spans="1:7" ht="20" x14ac:dyDescent="0.2">
      <c r="A6" s="15" t="s">
        <v>284</v>
      </c>
      <c r="B6" s="14">
        <v>31</v>
      </c>
      <c r="C6" s="14">
        <v>42</v>
      </c>
      <c r="D6" s="14">
        <v>30</v>
      </c>
      <c r="E6" s="14">
        <v>20</v>
      </c>
      <c r="F6" s="14">
        <f>SUMPRODUCT(B2:E2,B6:E6)</f>
        <v>166200</v>
      </c>
      <c r="G6" s="14">
        <v>180000</v>
      </c>
    </row>
    <row r="7" spans="1:7" ht="20" x14ac:dyDescent="0.2">
      <c r="A7" s="15" t="s">
        <v>285</v>
      </c>
      <c r="B7" s="14">
        <v>200</v>
      </c>
      <c r="C7" s="14">
        <v>150</v>
      </c>
      <c r="D7" s="14">
        <v>170</v>
      </c>
      <c r="E7" s="14">
        <v>50</v>
      </c>
      <c r="F7" s="14">
        <f>SUMPRODUCT(B2:E2,B7:E7)</f>
        <v>750000</v>
      </c>
      <c r="G7" s="14">
        <v>750000</v>
      </c>
    </row>
    <row r="8" spans="1:7" ht="20" x14ac:dyDescent="0.2">
      <c r="A8" s="15" t="s">
        <v>7</v>
      </c>
      <c r="B8" s="14">
        <v>120</v>
      </c>
      <c r="C8" s="14">
        <v>50</v>
      </c>
      <c r="D8" s="14">
        <v>30</v>
      </c>
      <c r="E8" s="14">
        <v>100</v>
      </c>
      <c r="F8" s="14">
        <f>SUMPRODUCT(B2:E2,B8:E8)</f>
        <v>449000</v>
      </c>
      <c r="G8" s="1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B0BD-2A9C-DB48-9C3E-CF3104BA8C0D}">
  <dimension ref="A1:G41"/>
  <sheetViews>
    <sheetView showGridLines="0" workbookViewId="0"/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8.83203125" bestFit="1" customWidth="1"/>
    <col min="4" max="4" width="18.33203125" bestFit="1" customWidth="1"/>
    <col min="5" max="5" width="23.33203125" bestFit="1" customWidth="1"/>
    <col min="6" max="6" width="14.83203125" bestFit="1" customWidth="1"/>
    <col min="7" max="7" width="7.5" bestFit="1" customWidth="1"/>
  </cols>
  <sheetData>
    <row r="1" spans="1:5" x14ac:dyDescent="0.2">
      <c r="A1" s="5" t="s">
        <v>11</v>
      </c>
    </row>
    <row r="2" spans="1:5" x14ac:dyDescent="0.2">
      <c r="A2" s="5" t="s">
        <v>286</v>
      </c>
    </row>
    <row r="3" spans="1:5" x14ac:dyDescent="0.2">
      <c r="A3" s="5" t="s">
        <v>287</v>
      </c>
    </row>
    <row r="4" spans="1:5" x14ac:dyDescent="0.2">
      <c r="A4" s="5" t="s">
        <v>14</v>
      </c>
    </row>
    <row r="5" spans="1:5" x14ac:dyDescent="0.2">
      <c r="A5" s="5" t="s">
        <v>15</v>
      </c>
    </row>
    <row r="6" spans="1:5" hidden="1" outlineLevel="1" x14ac:dyDescent="0.2">
      <c r="A6" s="5"/>
      <c r="B6" t="s">
        <v>16</v>
      </c>
    </row>
    <row r="7" spans="1:5" hidden="1" outlineLevel="1" x14ac:dyDescent="0.2">
      <c r="A7" s="5"/>
      <c r="B7" t="s">
        <v>288</v>
      </c>
    </row>
    <row r="8" spans="1:5" hidden="1" outlineLevel="1" x14ac:dyDescent="0.2">
      <c r="A8" s="5"/>
      <c r="B8" t="s">
        <v>80</v>
      </c>
    </row>
    <row r="9" spans="1:5" collapsed="1" x14ac:dyDescent="0.2">
      <c r="A9" s="5" t="s">
        <v>19</v>
      </c>
    </row>
    <row r="10" spans="1:5" hidden="1" outlineLevel="1" x14ac:dyDescent="0.2">
      <c r="B10" t="s">
        <v>20</v>
      </c>
    </row>
    <row r="11" spans="1:5" hidden="1" outlineLevel="1" x14ac:dyDescent="0.2">
      <c r="B11" t="s">
        <v>21</v>
      </c>
    </row>
    <row r="12" spans="1:5" collapsed="1" x14ac:dyDescent="0.2"/>
    <row r="14" spans="1:5" ht="17" thickBot="1" x14ac:dyDescent="0.25">
      <c r="A14" t="s">
        <v>22</v>
      </c>
    </row>
    <row r="15" spans="1:5" ht="17" thickBot="1" x14ac:dyDescent="0.25">
      <c r="B15" s="19" t="s">
        <v>23</v>
      </c>
      <c r="C15" s="19" t="s">
        <v>24</v>
      </c>
      <c r="D15" s="19" t="s">
        <v>25</v>
      </c>
      <c r="E15" s="19" t="s">
        <v>26</v>
      </c>
    </row>
    <row r="16" spans="1:5" ht="17" thickBot="1" x14ac:dyDescent="0.25">
      <c r="B16" s="18" t="s">
        <v>289</v>
      </c>
      <c r="C16" s="18" t="s">
        <v>35</v>
      </c>
      <c r="D16" s="22">
        <v>359000</v>
      </c>
      <c r="E16" s="22">
        <v>449000</v>
      </c>
    </row>
    <row r="19" spans="1:7" ht="17" thickBot="1" x14ac:dyDescent="0.25">
      <c r="A19" t="s">
        <v>27</v>
      </c>
    </row>
    <row r="20" spans="1:7" ht="17" thickBot="1" x14ac:dyDescent="0.25">
      <c r="B20" s="19" t="s">
        <v>23</v>
      </c>
      <c r="C20" s="19" t="s">
        <v>24</v>
      </c>
      <c r="D20" s="19" t="s">
        <v>25</v>
      </c>
      <c r="E20" s="19" t="s">
        <v>26</v>
      </c>
      <c r="F20" s="19" t="s">
        <v>28</v>
      </c>
    </row>
    <row r="21" spans="1:7" x14ac:dyDescent="0.2">
      <c r="B21" s="26" t="s">
        <v>196</v>
      </c>
      <c r="C21" s="25"/>
      <c r="D21" s="25"/>
      <c r="E21" s="25"/>
      <c r="F21" s="25"/>
    </row>
    <row r="22" spans="1:7" hidden="1" outlineLevel="1" x14ac:dyDescent="0.2">
      <c r="B22" s="21" t="s">
        <v>36</v>
      </c>
      <c r="C22" s="21" t="s">
        <v>290</v>
      </c>
      <c r="D22" s="23">
        <v>1200</v>
      </c>
      <c r="E22" s="23">
        <v>1200</v>
      </c>
      <c r="F22" s="21" t="s">
        <v>38</v>
      </c>
    </row>
    <row r="23" spans="1:7" hidden="1" outlineLevel="1" x14ac:dyDescent="0.2">
      <c r="B23" s="21" t="s">
        <v>39</v>
      </c>
      <c r="C23" s="21" t="s">
        <v>291</v>
      </c>
      <c r="D23" s="23">
        <v>1000</v>
      </c>
      <c r="E23" s="23">
        <v>1000</v>
      </c>
      <c r="F23" s="21" t="s">
        <v>38</v>
      </c>
    </row>
    <row r="24" spans="1:7" hidden="1" outlineLevel="1" x14ac:dyDescent="0.2">
      <c r="B24" s="21" t="s">
        <v>108</v>
      </c>
      <c r="C24" s="21" t="s">
        <v>292</v>
      </c>
      <c r="D24" s="23">
        <v>1500</v>
      </c>
      <c r="E24" s="23">
        <v>1500</v>
      </c>
      <c r="F24" s="21" t="s">
        <v>38</v>
      </c>
    </row>
    <row r="25" spans="1:7" ht="17" hidden="1" outlineLevel="1" thickBot="1" x14ac:dyDescent="0.25">
      <c r="B25" s="18" t="s">
        <v>110</v>
      </c>
      <c r="C25" s="18" t="s">
        <v>293</v>
      </c>
      <c r="D25" s="22">
        <v>1200</v>
      </c>
      <c r="E25" s="22">
        <v>2100</v>
      </c>
      <c r="F25" s="18" t="s">
        <v>38</v>
      </c>
    </row>
    <row r="26" spans="1:7" collapsed="1" x14ac:dyDescent="0.2">
      <c r="B26" s="20"/>
      <c r="C26" s="20"/>
      <c r="D26" s="24"/>
      <c r="E26" s="24"/>
      <c r="F26" s="20"/>
    </row>
    <row r="29" spans="1:7" ht="17" thickBot="1" x14ac:dyDescent="0.25">
      <c r="A29" t="s">
        <v>29</v>
      </c>
    </row>
    <row r="30" spans="1:7" ht="17" thickBot="1" x14ac:dyDescent="0.25">
      <c r="B30" s="19" t="s">
        <v>23</v>
      </c>
      <c r="C30" s="19" t="s">
        <v>24</v>
      </c>
      <c r="D30" s="19" t="s">
        <v>30</v>
      </c>
      <c r="E30" s="19" t="s">
        <v>31</v>
      </c>
      <c r="F30" s="19" t="s">
        <v>32</v>
      </c>
      <c r="G30" s="19" t="s">
        <v>33</v>
      </c>
    </row>
    <row r="31" spans="1:7" x14ac:dyDescent="0.2">
      <c r="B31" s="26" t="s">
        <v>306</v>
      </c>
      <c r="C31" s="25"/>
      <c r="D31" s="25"/>
      <c r="E31" s="25"/>
      <c r="F31" s="25"/>
      <c r="G31" s="25"/>
    </row>
    <row r="32" spans="1:7" hidden="1" outlineLevel="1" x14ac:dyDescent="0.2">
      <c r="B32" s="21" t="s">
        <v>190</v>
      </c>
      <c r="C32" s="21" t="s">
        <v>294</v>
      </c>
      <c r="D32" s="23">
        <v>92600</v>
      </c>
      <c r="E32" s="21" t="s">
        <v>192</v>
      </c>
      <c r="F32" s="21" t="s">
        <v>44</v>
      </c>
      <c r="G32" s="21">
        <v>17400</v>
      </c>
    </row>
    <row r="33" spans="2:7" hidden="1" outlineLevel="1" x14ac:dyDescent="0.2">
      <c r="B33" s="21" t="s">
        <v>193</v>
      </c>
      <c r="C33" s="21" t="s">
        <v>295</v>
      </c>
      <c r="D33" s="23">
        <v>563000</v>
      </c>
      <c r="E33" s="21" t="s">
        <v>195</v>
      </c>
      <c r="F33" s="21" t="s">
        <v>44</v>
      </c>
      <c r="G33" s="21">
        <v>387000</v>
      </c>
    </row>
    <row r="34" spans="2:7" hidden="1" outlineLevel="1" x14ac:dyDescent="0.2">
      <c r="B34" s="21" t="s">
        <v>185</v>
      </c>
      <c r="C34" s="21" t="s">
        <v>296</v>
      </c>
      <c r="D34" s="23">
        <v>1106000</v>
      </c>
      <c r="E34" s="21" t="s">
        <v>223</v>
      </c>
      <c r="F34" s="21" t="s">
        <v>44</v>
      </c>
      <c r="G34" s="21">
        <v>94000</v>
      </c>
    </row>
    <row r="35" spans="2:7" hidden="1" outlineLevel="1" x14ac:dyDescent="0.2">
      <c r="B35" s="21" t="s">
        <v>214</v>
      </c>
      <c r="C35" s="21" t="s">
        <v>297</v>
      </c>
      <c r="D35" s="23">
        <v>166200</v>
      </c>
      <c r="E35" s="21" t="s">
        <v>298</v>
      </c>
      <c r="F35" s="21" t="s">
        <v>44</v>
      </c>
      <c r="G35" s="21">
        <v>13800</v>
      </c>
    </row>
    <row r="36" spans="2:7" collapsed="1" x14ac:dyDescent="0.2">
      <c r="B36" s="21"/>
      <c r="C36" s="21"/>
      <c r="D36" s="23"/>
      <c r="E36" s="21"/>
      <c r="F36" s="21"/>
      <c r="G36" s="21"/>
    </row>
    <row r="37" spans="2:7" x14ac:dyDescent="0.2">
      <c r="B37" s="21" t="s">
        <v>299</v>
      </c>
      <c r="C37" s="21" t="s">
        <v>300</v>
      </c>
      <c r="D37" s="23">
        <v>750000</v>
      </c>
      <c r="E37" s="21" t="s">
        <v>301</v>
      </c>
      <c r="F37" s="21" t="s">
        <v>48</v>
      </c>
      <c r="G37" s="21">
        <v>0</v>
      </c>
    </row>
    <row r="38" spans="2:7" x14ac:dyDescent="0.2">
      <c r="B38" s="21" t="s">
        <v>36</v>
      </c>
      <c r="C38" s="21" t="s">
        <v>290</v>
      </c>
      <c r="D38" s="23">
        <v>1200</v>
      </c>
      <c r="E38" s="21" t="s">
        <v>302</v>
      </c>
      <c r="F38" s="21" t="s">
        <v>48</v>
      </c>
      <c r="G38" s="23">
        <v>0</v>
      </c>
    </row>
    <row r="39" spans="2:7" x14ac:dyDescent="0.2">
      <c r="B39" s="21" t="s">
        <v>39</v>
      </c>
      <c r="C39" s="21" t="s">
        <v>291</v>
      </c>
      <c r="D39" s="23">
        <v>1000</v>
      </c>
      <c r="E39" s="21" t="s">
        <v>303</v>
      </c>
      <c r="F39" s="21" t="s">
        <v>48</v>
      </c>
      <c r="G39" s="23">
        <v>0</v>
      </c>
    </row>
    <row r="40" spans="2:7" x14ac:dyDescent="0.2">
      <c r="B40" s="21" t="s">
        <v>108</v>
      </c>
      <c r="C40" s="21" t="s">
        <v>292</v>
      </c>
      <c r="D40" s="23">
        <v>1500</v>
      </c>
      <c r="E40" s="21" t="s">
        <v>304</v>
      </c>
      <c r="F40" s="21" t="s">
        <v>48</v>
      </c>
      <c r="G40" s="23">
        <v>0</v>
      </c>
    </row>
    <row r="41" spans="2:7" ht="17" thickBot="1" x14ac:dyDescent="0.25">
      <c r="B41" s="18" t="s">
        <v>110</v>
      </c>
      <c r="C41" s="18" t="s">
        <v>293</v>
      </c>
      <c r="D41" s="22">
        <v>2100</v>
      </c>
      <c r="E41" s="18" t="s">
        <v>305</v>
      </c>
      <c r="F41" s="18" t="s">
        <v>44</v>
      </c>
      <c r="G41" s="22">
        <v>900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0FCF-3A54-A648-9B68-18A1C79CDE11}">
  <dimension ref="A1:H25"/>
  <sheetViews>
    <sheetView showGridLines="0" tabSelected="1" workbookViewId="0">
      <selection activeCell="N40" sqref="N40"/>
    </sheetView>
  </sheetViews>
  <sheetFormatPr baseColWidth="10" defaultRowHeight="16" outlineLevelRow="1" x14ac:dyDescent="0.2"/>
  <cols>
    <col min="1" max="1" width="2.33203125" customWidth="1"/>
    <col min="2" max="2" width="7.33203125" bestFit="1" customWidth="1"/>
    <col min="3" max="3" width="38.83203125" bestFit="1" customWidth="1"/>
    <col min="4" max="4" width="14.5" bestFit="1" customWidth="1"/>
    <col min="5" max="5" width="11.5" bestFit="1" customWidth="1"/>
    <col min="6" max="6" width="16.5" bestFit="1" customWidth="1"/>
    <col min="7" max="7" width="11.6640625" bestFit="1" customWidth="1"/>
    <col min="8" max="8" width="12.33203125" bestFit="1" customWidth="1"/>
  </cols>
  <sheetData>
    <row r="1" spans="1:8" x14ac:dyDescent="0.2">
      <c r="A1" s="5" t="s">
        <v>55</v>
      </c>
    </row>
    <row r="2" spans="1:8" x14ac:dyDescent="0.2">
      <c r="A2" s="5" t="s">
        <v>286</v>
      </c>
    </row>
    <row r="3" spans="1:8" x14ac:dyDescent="0.2">
      <c r="A3" s="5" t="s">
        <v>287</v>
      </c>
    </row>
    <row r="6" spans="1:8" ht="17" thickBot="1" x14ac:dyDescent="0.25">
      <c r="A6" t="s">
        <v>27</v>
      </c>
    </row>
    <row r="7" spans="1:8" x14ac:dyDescent="0.2">
      <c r="B7" s="28"/>
      <c r="C7" s="28"/>
      <c r="D7" s="28" t="s">
        <v>56</v>
      </c>
      <c r="E7" s="28" t="s">
        <v>58</v>
      </c>
      <c r="F7" s="28" t="s">
        <v>60</v>
      </c>
      <c r="G7" s="28" t="s">
        <v>62</v>
      </c>
      <c r="H7" s="28" t="s">
        <v>62</v>
      </c>
    </row>
    <row r="8" spans="1:8" ht="17" thickBot="1" x14ac:dyDescent="0.25">
      <c r="B8" s="29" t="s">
        <v>23</v>
      </c>
      <c r="C8" s="29" t="s">
        <v>24</v>
      </c>
      <c r="D8" s="29" t="s">
        <v>57</v>
      </c>
      <c r="E8" s="29" t="s">
        <v>59</v>
      </c>
      <c r="F8" s="29" t="s">
        <v>61</v>
      </c>
      <c r="G8" s="29" t="s">
        <v>63</v>
      </c>
      <c r="H8" s="29" t="s">
        <v>64</v>
      </c>
    </row>
    <row r="9" spans="1:8" x14ac:dyDescent="0.2">
      <c r="B9" s="26" t="s">
        <v>196</v>
      </c>
      <c r="C9" s="25"/>
      <c r="D9" s="25"/>
      <c r="E9" s="25"/>
      <c r="F9" s="25"/>
      <c r="G9" s="25"/>
      <c r="H9" s="25"/>
    </row>
    <row r="10" spans="1:8" hidden="1" outlineLevel="1" x14ac:dyDescent="0.2">
      <c r="B10" s="21" t="s">
        <v>36</v>
      </c>
      <c r="C10" s="21" t="s">
        <v>290</v>
      </c>
      <c r="D10" s="21">
        <v>1200</v>
      </c>
      <c r="E10" s="21">
        <v>-280</v>
      </c>
      <c r="F10" s="21">
        <v>120</v>
      </c>
      <c r="G10" s="21">
        <v>280</v>
      </c>
      <c r="H10" s="21">
        <v>1E+30</v>
      </c>
    </row>
    <row r="11" spans="1:8" hidden="1" outlineLevel="1" x14ac:dyDescent="0.2">
      <c r="B11" s="21" t="s">
        <v>39</v>
      </c>
      <c r="C11" s="21" t="s">
        <v>291</v>
      </c>
      <c r="D11" s="21">
        <v>1000</v>
      </c>
      <c r="E11" s="21">
        <v>-250</v>
      </c>
      <c r="F11" s="21">
        <v>50</v>
      </c>
      <c r="G11" s="21">
        <v>250</v>
      </c>
      <c r="H11" s="21">
        <v>1E+30</v>
      </c>
    </row>
    <row r="12" spans="1:8" hidden="1" outlineLevel="1" x14ac:dyDescent="0.2">
      <c r="B12" s="21" t="s">
        <v>108</v>
      </c>
      <c r="C12" s="21" t="s">
        <v>292</v>
      </c>
      <c r="D12" s="21">
        <v>1500</v>
      </c>
      <c r="E12" s="21">
        <v>-310</v>
      </c>
      <c r="F12" s="21">
        <v>30</v>
      </c>
      <c r="G12" s="21">
        <v>310</v>
      </c>
      <c r="H12" s="21">
        <v>1E+30</v>
      </c>
    </row>
    <row r="13" spans="1:8" ht="17" hidden="1" outlineLevel="1" thickBot="1" x14ac:dyDescent="0.25">
      <c r="B13" s="18" t="s">
        <v>110</v>
      </c>
      <c r="C13" s="18" t="s">
        <v>293</v>
      </c>
      <c r="D13" s="18">
        <v>2100</v>
      </c>
      <c r="E13" s="18">
        <v>0</v>
      </c>
      <c r="F13" s="18">
        <v>100</v>
      </c>
      <c r="G13" s="18">
        <v>1E+30</v>
      </c>
      <c r="H13" s="18">
        <v>70</v>
      </c>
    </row>
    <row r="14" spans="1:8" collapsed="1" x14ac:dyDescent="0.2">
      <c r="B14" s="20"/>
      <c r="C14" s="20"/>
      <c r="D14" s="20"/>
      <c r="E14" s="20"/>
      <c r="F14" s="20"/>
      <c r="G14" s="20"/>
      <c r="H14" s="20"/>
    </row>
    <row r="16" spans="1:8" ht="17" thickBot="1" x14ac:dyDescent="0.25">
      <c r="A16" t="s">
        <v>29</v>
      </c>
    </row>
    <row r="17" spans="2:8" x14ac:dyDescent="0.2">
      <c r="B17" s="28"/>
      <c r="C17" s="28"/>
      <c r="D17" s="28" t="s">
        <v>56</v>
      </c>
      <c r="E17" s="28" t="s">
        <v>65</v>
      </c>
      <c r="F17" s="28" t="s">
        <v>67</v>
      </c>
      <c r="G17" s="28" t="s">
        <v>62</v>
      </c>
      <c r="H17" s="28" t="s">
        <v>62</v>
      </c>
    </row>
    <row r="18" spans="2:8" ht="17" thickBot="1" x14ac:dyDescent="0.25">
      <c r="B18" s="29" t="s">
        <v>23</v>
      </c>
      <c r="C18" s="29" t="s">
        <v>24</v>
      </c>
      <c r="D18" s="29" t="s">
        <v>57</v>
      </c>
      <c r="E18" s="29" t="s">
        <v>66</v>
      </c>
      <c r="F18" s="29" t="s">
        <v>68</v>
      </c>
      <c r="G18" s="29" t="s">
        <v>63</v>
      </c>
      <c r="H18" s="29" t="s">
        <v>64</v>
      </c>
    </row>
    <row r="19" spans="2:8" x14ac:dyDescent="0.2">
      <c r="B19" s="26" t="s">
        <v>306</v>
      </c>
      <c r="C19" s="25"/>
      <c r="D19" s="25"/>
      <c r="E19" s="25"/>
      <c r="F19" s="25"/>
      <c r="G19" s="25"/>
      <c r="H19" s="25"/>
    </row>
    <row r="20" spans="2:8" hidden="1" outlineLevel="1" x14ac:dyDescent="0.2">
      <c r="B20" s="21" t="s">
        <v>190</v>
      </c>
      <c r="C20" s="21" t="s">
        <v>294</v>
      </c>
      <c r="D20" s="21">
        <v>92600</v>
      </c>
      <c r="E20" s="21">
        <v>0</v>
      </c>
      <c r="F20" s="21">
        <v>110000</v>
      </c>
      <c r="G20" s="21">
        <v>1E+30</v>
      </c>
      <c r="H20" s="21">
        <v>17400</v>
      </c>
    </row>
    <row r="21" spans="2:8" hidden="1" outlineLevel="1" x14ac:dyDescent="0.2">
      <c r="B21" s="21" t="s">
        <v>193</v>
      </c>
      <c r="C21" s="21" t="s">
        <v>295</v>
      </c>
      <c r="D21" s="21">
        <v>563000</v>
      </c>
      <c r="E21" s="21">
        <v>0</v>
      </c>
      <c r="F21" s="21">
        <v>950000</v>
      </c>
      <c r="G21" s="21">
        <v>1E+30</v>
      </c>
      <c r="H21" s="21">
        <v>387000</v>
      </c>
    </row>
    <row r="22" spans="2:8" hidden="1" outlineLevel="1" x14ac:dyDescent="0.2">
      <c r="B22" s="21" t="s">
        <v>185</v>
      </c>
      <c r="C22" s="21" t="s">
        <v>296</v>
      </c>
      <c r="D22" s="21">
        <v>1106000</v>
      </c>
      <c r="E22" s="21">
        <v>0</v>
      </c>
      <c r="F22" s="21">
        <v>1200000</v>
      </c>
      <c r="G22" s="21">
        <v>1E+30</v>
      </c>
      <c r="H22" s="21">
        <v>94000</v>
      </c>
    </row>
    <row r="23" spans="2:8" hidden="1" outlineLevel="1" x14ac:dyDescent="0.2">
      <c r="B23" s="21" t="s">
        <v>214</v>
      </c>
      <c r="C23" s="21" t="s">
        <v>297</v>
      </c>
      <c r="D23" s="21">
        <v>166200</v>
      </c>
      <c r="E23" s="21">
        <v>0</v>
      </c>
      <c r="F23" s="21">
        <v>180000</v>
      </c>
      <c r="G23" s="21">
        <v>1E+30</v>
      </c>
      <c r="H23" s="21">
        <v>13800</v>
      </c>
    </row>
    <row r="24" spans="2:8" collapsed="1" x14ac:dyDescent="0.2">
      <c r="B24" s="21"/>
      <c r="C24" s="21"/>
      <c r="D24" s="21"/>
      <c r="E24" s="21"/>
      <c r="F24" s="21"/>
      <c r="G24" s="21"/>
      <c r="H24" s="21"/>
    </row>
    <row r="25" spans="2:8" ht="17" thickBot="1" x14ac:dyDescent="0.25">
      <c r="B25" s="18" t="s">
        <v>299</v>
      </c>
      <c r="C25" s="18" t="s">
        <v>300</v>
      </c>
      <c r="D25" s="18">
        <v>750000</v>
      </c>
      <c r="E25" s="18">
        <v>2</v>
      </c>
      <c r="F25" s="18">
        <v>750000</v>
      </c>
      <c r="G25" s="18">
        <v>34500</v>
      </c>
      <c r="H25" s="18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27</vt:i4>
      </vt:variant>
    </vt:vector>
  </HeadingPairs>
  <TitlesOfParts>
    <vt:vector size="27" baseType="lpstr">
      <vt:lpstr>1</vt:lpstr>
      <vt:lpstr>1_1</vt:lpstr>
      <vt:lpstr>1_2</vt:lpstr>
      <vt:lpstr>2</vt:lpstr>
      <vt:lpstr>2_1</vt:lpstr>
      <vt:lpstr>2_2</vt:lpstr>
      <vt:lpstr>3</vt:lpstr>
      <vt:lpstr>3_1</vt:lpstr>
      <vt:lpstr>3_2</vt:lpstr>
      <vt:lpstr>4</vt:lpstr>
      <vt:lpstr>4_1</vt:lpstr>
      <vt:lpstr>4_2</vt:lpstr>
      <vt:lpstr>5</vt:lpstr>
      <vt:lpstr>5_1</vt:lpstr>
      <vt:lpstr>5_2</vt:lpstr>
      <vt:lpstr>6</vt:lpstr>
      <vt:lpstr>6_1</vt:lpstr>
      <vt:lpstr>6_2</vt:lpstr>
      <vt:lpstr>7</vt:lpstr>
      <vt:lpstr>7_1</vt:lpstr>
      <vt:lpstr>7_2</vt:lpstr>
      <vt:lpstr>8</vt:lpstr>
      <vt:lpstr>8_1</vt:lpstr>
      <vt:lpstr>8_2</vt:lpstr>
      <vt:lpstr>9</vt:lpstr>
      <vt:lpstr>9_1</vt:lpstr>
      <vt:lpstr>9_2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macbtw</dc:creator>
  <cp:lastModifiedBy>macbtw</cp:lastModifiedBy>
  <dcterms:created xsi:type="dcterms:W3CDTF">2026-04-05T05:17:47Z</dcterms:created>
  <dcterms:modified xsi:type="dcterms:W3CDTF">2026-04-05T11:30:24Z</dcterms:modified>
</cp:coreProperties>
</file>